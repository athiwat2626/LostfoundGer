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ผล" state="visible" r:id="rId4"/>
    <sheet sheetId="2" name="Backend (Jest)" state="visible" r:id="rId5"/>
    <sheet sheetId="3" name="Backend (node-test)" state="visible" r:id="rId6"/>
    <sheet sheetId="4" name="Frontend (Vitest)" state="visible" r:id="rId7"/>
    <sheet sheetId="5" name="Manual E2E" state="visible" r:id="rId8"/>
    <sheet sheetId="6" name="ข้อบกพร่อง" state="visible" r:id="rId9"/>
    <sheet sheetId="7" name="เทสที่ปรับปรุง" state="visible" r:id="rId10"/>
  </sheets>
  <calcPr calcId="171027" fullCalcOnLoad="1"/>
</workbook>
</file>

<file path=xl/sharedStrings.xml><?xml version="1.0" encoding="utf-8"?>
<sst xmlns="http://schemas.openxmlformats.org/spreadsheetml/2006/main" count="4015" uniqueCount="1693">
  <si>
    <t>รายงานผลการทดสอบ — KU Lost &amp; Found (FOUND&amp;LOST)</t>
  </si>
  <si>
    <t>วันที่รัน: 27 ตุลาคม 2569 · โค้ด: 88da0f6 (branch feature/line-bot-mobile-ui) + งานที่ยังไม่ commit</t>
  </si>
  <si>
    <t>1. เทสอัตโนมัติ</t>
  </si>
  <si>
    <t>ชุดทดสอบ</t>
  </si>
  <si>
    <t>เครื่องมือ</t>
  </si>
  <si>
    <t>จำนวนเทส</t>
  </si>
  <si>
    <t>ผ่าน</t>
  </si>
  <si>
    <t>ไม่ผ่าน</t>
  </si>
  <si>
    <t>ข้าม</t>
  </si>
  <si>
    <t>อัตราผ่าน</t>
  </si>
  <si>
    <t>Backend API และ Unit test</t>
  </si>
  <si>
    <t>Jest + Supertest</t>
  </si>
  <si>
    <t>Backend LINE Bot / จับคู่ / จัดการรายการ</t>
  </si>
  <si>
    <t>node:test (+ PostgreSQL 16 จริง)</t>
  </si>
  <si>
    <t>Frontend หน้าเว็บและคอมโพเนนต์</t>
  </si>
  <si>
    <t>Vitest + React Testing Library</t>
  </si>
  <si>
    <t>รวม</t>
  </si>
  <si>
    <t>2. กรณีทดสอบด้วยมือ (จากชีต Manual E2E)</t>
  </si>
  <si>
    <t>สถานะ</t>
  </si>
  <si>
    <t/>
  </si>
  <si>
    <t>จำนวน</t>
  </si>
  <si>
    <t>ยังไม่ทดสอบ</t>
  </si>
  <si>
    <t>3. Code coverage (ค่าจากรายงาน coverage ของ Jest / Vitest วันที่รัน)</t>
  </si>
  <si>
    <t>หมายเหตุ</t>
  </si>
  <si>
    <t>Statements</t>
  </si>
  <si>
    <t>Branches</t>
  </si>
  <si>
    <t>Functions</t>
  </si>
  <si>
    <t>Lines</t>
  </si>
  <si>
    <t>Backend (Jest)</t>
  </si>
  <si>
    <t>วัดทุกไฟล์ใน FOUNDLOST/backend รวม scripts/ และ services/line ที่ทดสอบด้วย node:test แทน จึงต่ำกว่าความครอบคลุมจริง</t>
  </si>
  <si>
    <t>Frontend (Vitest)</t>
  </si>
  <si>
    <t>วัด FOUNDLOST/frontend/src ทั้งหมด</t>
  </si>
  <si>
    <t>4. ตรวจคุณภาพโค้ดและ build</t>
  </si>
  <si>
    <t>รายการ</t>
  </si>
  <si>
    <t>รายละเอียด</t>
  </si>
  <si>
    <t>ผล</t>
  </si>
  <si>
    <t>oxlint (npm run lint)</t>
  </si>
  <si>
    <t>0 error, 2 warning (react set-state-in-effect)</t>
  </si>
  <si>
    <t>Production build (npm run build)</t>
  </si>
  <si>
    <t>build สำเร็จ มีคำเตือนขนาดไฟล์ &gt; 500 kB</t>
  </si>
  <si>
    <t>5. ข้อบกพร่อง/ข้อสังเกต (จากชีต ข้อบกพร่อง)</t>
  </si>
  <si>
    <t>ระดับ</t>
  </si>
  <si>
    <t>สูง</t>
  </si>
  <si>
    <t>กลาง</t>
  </si>
  <si>
    <t>ต่ำ</t>
  </si>
  <si>
    <t>หมายเหตุ: ตัวเลขเทสอัตโนมัตินับจากรายการในชีตรายละเอียด (สูตร COUNTIF) · ค่า coverage (ตัวเลขสีน้ำเงิน) คัดลอกจากผลรัน npm run coverage ในวันที่รัน</t>
  </si>
  <si>
    <t>Backend API และ Unit test — Jest + Supertest</t>
  </si>
  <si>
    <t>ไฟล์เทส: testcase/backend/tests · คำสั่ง: npm --prefix testcase/backend test · รันเมื่อ 27 ตุลาคม 2569 (ผลจากไฟล์ใน testcase/results)</t>
  </si>
  <si>
    <t>ลำดับ</t>
  </si>
  <si>
    <t>รหัส</t>
  </si>
  <si>
    <t>ไฟล์เทส</t>
  </si>
  <si>
    <t>กลุ่ม</t>
  </si>
  <si>
    <t>กรณีทดสอบ</t>
  </si>
  <si>
    <t>ผลที่คาดหวัง</t>
  </si>
  <si>
    <t>ผลการทดสอบ</t>
  </si>
  <si>
    <t>เวลา (ms)</t>
  </si>
  <si>
    <t>ADM-01</t>
  </si>
  <si>
    <t>api.admin.test.js</t>
  </si>
  <si>
    <t>ADM การป้องกันสิทธิ์</t>
  </si>
  <si>
    <t>get /admin/dashboard/stats โดยไม่มี token</t>
  </si>
  <si>
    <t>401</t>
  </si>
  <si>
    <t>get /admin/activity โดยไม่มี token</t>
  </si>
  <si>
    <t>get /admin/reports โดยไม่มี token</t>
  </si>
  <si>
    <t>get /admin/reports/RPT-2026-000001 โดยไม่มี token</t>
  </si>
  <si>
    <t>post /admin/reports/RPT-2026-000001/moderate โดยไม่มี token</t>
  </si>
  <si>
    <t>get /admin/users โดยไม่มี token</t>
  </si>
  <si>
    <t>post /admin/users/641/action โดยไม่มี token</t>
  </si>
  <si>
    <t>get /admin/items?type=found โดยไม่มี token</t>
  </si>
  <si>
    <t>patch /admin/items/found/1 โดยไม่มี token</t>
  </si>
  <si>
    <t>delete /admin/items/found/1 โดยไม่มี token</t>
  </si>
  <si>
    <t>ADM-02</t>
  </si>
  <si>
    <t>ADM Dashboard / Activity</t>
  </si>
  <si>
    <t>GET /admin/dashboard/stats</t>
  </si>
  <si>
    <t>รวมตัวเลขทุกหมวด</t>
  </si>
  <si>
    <t>ADM-03</t>
  </si>
  <si>
    <t>GET /admin/activity?limit=500</t>
  </si>
  <si>
    <t>จำกัดไม่เกิน 100</t>
  </si>
  <si>
    <t>ADM-04</t>
  </si>
  <si>
    <t>GET /admin/activity ค่า default limit = 20</t>
  </si>
  <si>
    <t>เป็นไปตามที่ระบุในกรณีทดสอบ</t>
  </si>
  <si>
    <t>ADM-05</t>
  </si>
  <si>
    <t>dashboard ฐานข้อมูลผิดพลาด</t>
  </si>
  <si>
    <t>500</t>
  </si>
  <si>
    <t>ADM-06</t>
  </si>
  <si>
    <t>ADM Reports</t>
  </si>
  <si>
    <t>GET /admin/reports?status=pending&amp;q=กระเป๋า</t>
  </si>
  <si>
    <t>กรองสถานะ + คำค้น พร้อม total/stats</t>
  </si>
  <si>
    <t>ADM-07</t>
  </si>
  <si>
    <t>GET /admin/reports?status=all</t>
  </si>
  <si>
    <t>ไม่กรองสถานะ</t>
  </si>
  <si>
    <t>ADM-08</t>
  </si>
  <si>
    <t>GET /admin/reports/:id ไม่พบ</t>
  </si>
  <si>
    <t>404</t>
  </si>
  <si>
    <t>ADM-09</t>
  </si>
  <si>
    <t>เปิดดูรายงานสถานะ pending</t>
  </si>
  <si>
    <t>เปลี่ยนเป็น under_review และมี timeline</t>
  </si>
  <si>
    <t>ADM-10</t>
  </si>
  <si>
    <t>รายงานที่ดำเนินการแล้ว</t>
  </si>
  <si>
    <t>timeline แสดงผู้ดำเนินการ ไม่เปลี่ยนสถานะ</t>
  </si>
  <si>
    <t>ADM-11</t>
  </si>
  <si>
    <t>ADM Moderate report (transaction)</t>
  </si>
  <si>
    <t>action ไม่ถูกต้อง</t>
  </si>
  <si>
    <t>400</t>
  </si>
  <si>
    <t>ADM-12</t>
  </si>
  <si>
    <t>suspend ด้วย duration_days=undefined</t>
  </si>
  <si>
    <t>suspend ด้วย duration_days=1</t>
  </si>
  <si>
    <t>suspend ด้วย duration_days=14</t>
  </si>
  <si>
    <t>suspend ด้วย duration_days="abc"</t>
  </si>
  <si>
    <t>ADM-13</t>
  </si>
  <si>
    <t>ไม่พบรายงาน</t>
  </si>
  <si>
    <t>404 และ ROLLBACK</t>
  </si>
  <si>
    <t>ADM-14</t>
  </si>
  <si>
    <t>warn</t>
  </si>
  <si>
    <t>เพิ่ม warning_count, สถานะ resolved, action_taken=warning, COMMIT</t>
  </si>
  <si>
    <t>ADM-15</t>
  </si>
  <si>
    <t>suspend 7 วัน</t>
  </si>
  <si>
    <t>ตั้ง suspended_until</t>
  </si>
  <si>
    <t>ADM-16</t>
  </si>
  <si>
    <t>ban</t>
  </si>
  <si>
    <t>ตั้ง is_banned = true</t>
  </si>
  <si>
    <t>ADM-17</t>
  </si>
  <si>
    <t>dismiss รายการที่ไม่มีเจ้าของ</t>
  </si>
  <si>
    <t>ยกเลิกรายงานได้ (status dismissed)</t>
  </si>
  <si>
    <t>ADM-18</t>
  </si>
  <si>
    <t>ban รายการที่หาเจ้าของไม่ได้</t>
  </si>
  <si>
    <t>ADM-19</t>
  </si>
  <si>
    <t>ฐานข้อมูลผิดพลาดกลางทาง</t>
  </si>
  <si>
    <t>500, ROLLBACK และคืน connection</t>
  </si>
  <si>
    <t>ADM-20</t>
  </si>
  <si>
    <t>ADM Users</t>
  </si>
  <si>
    <t>GET /admin/users?q=som</t>
  </si>
  <si>
    <t>ค้นชื่อ/อีเมล/รหัสนิสิต</t>
  </si>
  <si>
    <t>ADM-21</t>
  </si>
  <si>
    <t>GET /admin/users?status=suspended</t>
  </si>
  <si>
    <t>เงื่อนไขกรองถูกต้อง</t>
  </si>
  <si>
    <t>GET /admin/users?status=banned</t>
  </si>
  <si>
    <t>GET /admin/users?status=active</t>
  </si>
  <si>
    <t>ADM-22</t>
  </si>
  <si>
    <t>POST /admin/users/:id/action action=warn</t>
  </si>
  <si>
    <t>อัปเดตถูกคอลัมน์</t>
  </si>
  <si>
    <t>POST /admin/users/:id/action action=suspend</t>
  </si>
  <si>
    <t>POST /admin/users/:id/action action=ban</t>
  </si>
  <si>
    <t>POST /admin/users/:id/action action=unsuspend</t>
  </si>
  <si>
    <t>POST /admin/users/:id/action action=unban</t>
  </si>
  <si>
    <t>ADM-23</t>
  </si>
  <si>
    <t>ADM-24</t>
  </si>
  <si>
    <t>suspend โดยไม่ระบุจำนวนวันที่อนุญาต (3/7/30)</t>
  </si>
  <si>
    <t>ADM-25</t>
  </si>
  <si>
    <t>ไม่พบผู้ใช้</t>
  </si>
  <si>
    <t>ADM-26</t>
  </si>
  <si>
    <t>ADM Items</t>
  </si>
  <si>
    <t>GET /admin/items ไม่ระบุ type</t>
  </si>
  <si>
    <t>ADM-27</t>
  </si>
  <si>
    <t>GET /admin/items?type=lost&amp;q=กุญแจ</t>
  </si>
  <si>
    <t>ค้นหาจาก lost_items</t>
  </si>
  <si>
    <t>ADM-28</t>
  </si>
  <si>
    <t>PATCH /admin/items/found/1 ข้อมูลถูกต้อง</t>
  </si>
  <si>
    <t>200</t>
  </si>
  <si>
    <t>ADM-29</t>
  </si>
  <si>
    <t>PATCH ข้อมูลไม่ผ่าน validation</t>
  </si>
  <si>
    <t>ADM-30</t>
  </si>
  <si>
    <t>PATCH type ไม่ถูกต้อง</t>
  </si>
  <si>
    <t>ADM-31</t>
  </si>
  <si>
    <t>PATCH ไม่พบรายการ</t>
  </si>
  <si>
    <t>ADM-32</t>
  </si>
  <si>
    <t>DELETE /admin/items/lost/3</t>
  </si>
  <si>
    <t>ADM-33</t>
  </si>
  <si>
    <t>DELETE ไม่พบรายการ</t>
  </si>
  <si>
    <t>ADM-34</t>
  </si>
  <si>
    <t>DELETE type ไม่ถูกต้อง</t>
  </si>
  <si>
    <t>AAU-01</t>
  </si>
  <si>
    <t>api.adminAuth.test.js</t>
  </si>
  <si>
    <t>AAU POST /admin/auth/login</t>
  </si>
  <si>
    <t>อีเมล/รหัสผ่านถูกต้อง</t>
  </si>
  <si>
    <t>200 พร้อม JWT ที่มี admin_id</t>
  </si>
  <si>
    <t>AAU-02</t>
  </si>
  <si>
    <t>รหัสผ่านผิด</t>
  </si>
  <si>
    <t>AAU-03</t>
  </si>
  <si>
    <t>อีเมลไม่มีในระบบ</t>
  </si>
  <si>
    <t>401 (ข้อความเดียวกับรหัสผิด)</t>
  </si>
  <si>
    <t>AAU-04</t>
  </si>
  <si>
    <t>ไม่มีรหัสผ่าน</t>
  </si>
  <si>
    <t>AAU-05</t>
  </si>
  <si>
    <t>อีเมลผิดรูปแบบ</t>
  </si>
  <si>
    <t>AAU-06</t>
  </si>
  <si>
    <t>รหัสผ่านไม่ใช่ string</t>
  </si>
  <si>
    <t>AAU-07</t>
  </si>
  <si>
    <t>ฐานข้อมูลผิดพลาด</t>
  </si>
  <si>
    <t>AAU-08</t>
  </si>
  <si>
    <t>AAU GET /admin/auth/me</t>
  </si>
  <si>
    <t>มี token</t>
  </si>
  <si>
    <t>ข้อมูลแอดมิน</t>
  </si>
  <si>
    <t>AAU-09</t>
  </si>
  <si>
    <t>ไม่มี token</t>
  </si>
  <si>
    <t>AAU-10</t>
  </si>
  <si>
    <t>token ถูกต้องแต่แอดมินถูกลบไปแล้ว</t>
  </si>
  <si>
    <t>AAU-11</t>
  </si>
  <si>
    <t>AAU PATCH /admin/auth/profile</t>
  </si>
  <si>
    <t>เปลี่ยนชื่อที่แสดง</t>
  </si>
  <si>
    <t>200 (trim แล้ว)</t>
  </si>
  <si>
    <t>AAU-12</t>
  </si>
  <si>
    <t>ชื่อว่าง</t>
  </si>
  <si>
    <t>AAU-13</t>
  </si>
  <si>
    <t>ชื่อยาวเกิน 100 ตัว</t>
  </si>
  <si>
    <t>AAU-14</t>
  </si>
  <si>
    <t>ไม่ส่งชื่อ</t>
  </si>
  <si>
    <t>AAU-15</t>
  </si>
  <si>
    <t>AAU-16</t>
  </si>
  <si>
    <t>AAU POST /admin/auth/change-password</t>
  </si>
  <si>
    <t>รหัสเดิมถูก + รหัสใหม่ ≥ 8 ตัว</t>
  </si>
  <si>
    <t>200 และบันทึก hash ใหม่</t>
  </si>
  <si>
    <t>AAU-17</t>
  </si>
  <si>
    <t>รหัสเดิมผิด</t>
  </si>
  <si>
    <t>401 และไม่เปลี่ยนรหัส</t>
  </si>
  <si>
    <t>AAU-18</t>
  </si>
  <si>
    <t>รหัสใหม่สั้นกว่า 8 ตัว</t>
  </si>
  <si>
    <t>CRT-01</t>
  </si>
  <si>
    <t>api.certificate.test.js</t>
  </si>
  <si>
    <t>CRT POST /api/returns/confirm-success</t>
  </si>
  <si>
    <t>CRT-02</t>
  </si>
  <si>
    <t>CRT-03</t>
  </si>
  <si>
    <t>คืนของครั้งที่ 1</t>
  </si>
  <si>
    <t>บันทึกแต่ยังไม่ออกเกียรติบัตร</t>
  </si>
  <si>
    <t>CRT-04</t>
  </si>
  <si>
    <t>คืนของครบ 3 ครั้ง (ทวีคูณของ 3)</t>
  </si>
  <si>
    <t>ออกเกียรติบัตร</t>
  </si>
  <si>
    <t>คืนของครบ 6 ครั้ง (ทวีคูณของ 3)</t>
  </si>
  <si>
    <t>คืนของครบ 9 ครั้ง (ทวีคูณของ 3)</t>
  </si>
  <si>
    <t>CRT-05</t>
  </si>
  <si>
    <t>ส่งเกียรติบัตรล้มเหลว ไม่กระทบ response</t>
  </si>
  <si>
    <t>ยัง 200</t>
  </si>
  <si>
    <t>CRT-06</t>
  </si>
  <si>
    <t>CRT-07</t>
  </si>
  <si>
    <t>ไม่มี token แอดมิน</t>
  </si>
  <si>
    <t>401 และไม่แตะฐานข้อมูลผู้ใช้</t>
  </si>
  <si>
    <t>CRT-08</t>
  </si>
  <si>
    <t>จำนวนครั้งที่ได้เกียรติบัตรอ่านจากตั้งค่าระบบ (certificate_milestone = 5)</t>
  </si>
  <si>
    <t>GGL-01</t>
  </si>
  <si>
    <t>api.googleAuth.test.js</t>
  </si>
  <si>
    <t>GGL POST /api/auth/google</t>
  </si>
  <si>
    <t>ผู้ใช้เดิม</t>
  </si>
  <si>
    <t>ยืนยัน Google แล้วส่ง OTP ไปที่อีเมล Google (ยังไม่ออก token)</t>
  </si>
  <si>
    <t>GGL-02</t>
  </si>
  <si>
    <t>ยังไม่มีบัญชี</t>
  </si>
  <si>
    <t>สร้างบัญชีจากชื่อ Google (201) แล้วส่ง OTP</t>
  </si>
  <si>
    <t>GGL-03</t>
  </si>
  <si>
    <t>สมัครพร้อมกัน (อีเมลซ้ำ 23505)</t>
  </si>
  <si>
    <t>ใช้บัญชีที่มีอยู่ และยังส่ง OTP</t>
  </si>
  <si>
    <t>GGL-04</t>
  </si>
  <si>
    <t>บัญชีถูกแบน</t>
  </si>
  <si>
    <t>403 และไม่ส่ง OTP</t>
  </si>
  <si>
    <t>GGL-05</t>
  </si>
  <si>
    <t>บัญชีถูกระงับชั่วคราว</t>
  </si>
  <si>
    <t>403 พร้อม suspended_until</t>
  </si>
  <si>
    <t>GGL-06</t>
  </si>
  <si>
    <t>ขอซ้ำภายใน 60 วินาที</t>
  </si>
  <si>
    <t>ไม่ส่งรหัสใหม่ แจ้ง retry_after ให้ใช้รหัสเดิม</t>
  </si>
  <si>
    <t>GGL-07</t>
  </si>
  <si>
    <t>ลายเซ็นปลอม (กุญแจอื่น)</t>
  </si>
  <si>
    <t>401 ไม่แตะบัญชีผู้ใช้</t>
  </si>
  <si>
    <t>GGL-08</t>
  </si>
  <si>
    <t>Client ID ไม่ตรง (aud)</t>
  </si>
  <si>
    <t>GGL-09</t>
  </si>
  <si>
    <t>token หมดอายุ</t>
  </si>
  <si>
    <t>GGL-10</t>
  </si>
  <si>
    <t>ผู้ออก token ไม่ใช่ Google</t>
  </si>
  <si>
    <t>GGL-11</t>
  </si>
  <si>
    <t>อีเมลยังไม่ยืนยันกับ Google</t>
  </si>
  <si>
    <t>GGL-12</t>
  </si>
  <si>
    <t>kid ไม่มีในกุญแจของ Google</t>
  </si>
  <si>
    <t>GGL-13</t>
  </si>
  <si>
    <t>credential ไม่ใช่ JWT</t>
  </si>
  <si>
    <t>GGL-14</t>
  </si>
  <si>
    <t>จำกัดโดเมน (GOOGLE_ALLOWED_DOMAINS=ku.th)</t>
  </si>
  <si>
    <t>อีเมลโดเมนอื่น 401</t>
  </si>
  <si>
    <t>GGL-15</t>
  </si>
  <si>
    <t>ยังไม่ได้ตั้ง GOOGLE_CLIENT_ID</t>
  </si>
  <si>
    <t>503</t>
  </si>
  <si>
    <t>GGL-16</t>
  </si>
  <si>
    <t>ดึงกุญแจของ Google ไม่ได้</t>
  </si>
  <si>
    <t>502</t>
  </si>
  <si>
    <t>GGL-17</t>
  </si>
  <si>
    <t>ส่งอีเมล OTP ไม่สำเร็จ</t>
  </si>
  <si>
    <t>GGL-18</t>
  </si>
  <si>
    <t>ขั้นที่ 2: OTP ที่ส่งไปใช้กับ /api/verify-otp ได้ และได้ token ผู้ใช้</t>
  </si>
  <si>
    <t>GGL-19</t>
  </si>
  <si>
    <t>กุญแจของ Google ถูก cache — เข้าสู่ระบบ 2 ครั้งดึงกุญแจครั้งเดียว</t>
  </si>
  <si>
    <t>GGL-20</t>
  </si>
  <si>
    <t>/api/settings/public ส่ง google_client_id ให้หน้าเว็บ (ไม่ตั้ง = null)</t>
  </si>
  <si>
    <t>GSV-01</t>
  </si>
  <si>
    <t>GSV services/googleAuth.js (unit)</t>
  </si>
  <si>
    <t>token ถูกต้อง</t>
  </si>
  <si>
    <t>คืนอีเมลตัวพิมพ์เล็ก ชื่อ และนามสกุล</t>
  </si>
  <si>
    <t>GSV-02</t>
  </si>
  <si>
    <t>ไม่มี given_name/family_name</t>
  </si>
  <si>
    <t>แยกชื่อจาก name, ไม่มีนามสกุลใช้ '-'</t>
  </si>
  <si>
    <t>GSV-03</t>
  </si>
  <si>
    <t>ตัดให้พอดีคอลัมน์</t>
  </si>
  <si>
    <t>GSV-04</t>
  </si>
  <si>
    <t>Google หมุนกุญแจ (kid ใหม่)</t>
  </si>
  <si>
    <t>โหลดกุญแจใหม่ 1 ครั้งแล้วตรวจผ่าน</t>
  </si>
  <si>
    <t>FND-01</t>
  </si>
  <si>
    <t>api.items.test.js</t>
  </si>
  <si>
    <t>FND แจ้งพบของ</t>
  </si>
  <si>
    <t>ข้อมูลครบ (ไม่มีรูป)</t>
  </si>
  <si>
    <t>201 คืน item_id และแจ้งเตือน LINE</t>
  </si>
  <si>
    <t>FND-02</t>
  </si>
  <si>
    <t>ส่งแบบ multipart พร้อมรูปภาพ</t>
  </si>
  <si>
    <t>บันทึก image_url ใน /assets/foundUploads/</t>
  </si>
  <si>
    <t>FND-03</t>
  </si>
  <si>
    <t>อัปโหลดไฟล์ที่ไม่ใช่รูปภาพ</t>
  </si>
  <si>
    <t>FND-04</t>
  </si>
  <si>
    <t>รูปภาพใหญ่เกิน 5 MB</t>
  </si>
  <si>
    <t>FND-05</t>
  </si>
  <si>
    <t>ไม่มีชื่อสิ่งของ</t>
  </si>
  <si>
    <t>FND-06</t>
  </si>
  <si>
    <t>วันที่ผิดรูปแบบ</t>
  </si>
  <si>
    <t>FND-07</t>
  </si>
  <si>
    <t>วันที่ไม่มีจริง</t>
  </si>
  <si>
    <t>FND-08</t>
  </si>
  <si>
    <t>ไม่มีสถานที่</t>
  </si>
  <si>
    <t>FND-09</t>
  </si>
  <si>
    <t>ชื่อยาวเกิน 255 ตัว</t>
  </si>
  <si>
    <t>FND-10</t>
  </si>
  <si>
    <t>token ผู้ใช้</t>
  </si>
  <si>
    <t>student_id มาจาก token แม้ body จะส่งค่าอื่นมา</t>
  </si>
  <si>
    <t>FND-11</t>
  </si>
  <si>
    <t>แจ้งเตือน LINE ล้มเหลว ไม่กระทบการบันทึก</t>
  </si>
  <si>
    <t>ยัง 201</t>
  </si>
  <si>
    <t>FND-12</t>
  </si>
  <si>
    <t>ฐานข้อมูลผิดพลาดตอนบันทึก</t>
  </si>
  <si>
    <t>FND-13</t>
  </si>
  <si>
    <t>GET /foundItem</t>
  </si>
  <si>
    <t>รายการทั้งหมดเรียงจากใหม่ไปเก่า</t>
  </si>
  <si>
    <t>FND-14</t>
  </si>
  <si>
    <t>GET /datafound (path สำรอง) ใช้งานได้เหมือนกัน</t>
  </si>
  <si>
    <t>FND-15</t>
  </si>
  <si>
    <t>GET /foundItem ฐานข้อมูลผิดพลาด</t>
  </si>
  <si>
    <t>FND-16</t>
  </si>
  <si>
    <t>401 และไม่บันทึก</t>
  </si>
  <si>
    <t>FND-17</t>
  </si>
  <si>
    <t>แอดมินเพิ่มรายการโดยไม่ระบุเจ้าของ</t>
  </si>
  <si>
    <t>student_id = null และบันทึก audit log</t>
  </si>
  <si>
    <t>FND-18</t>
  </si>
  <si>
    <t>ผู้ใช้ทั่วไปแจ้ง</t>
  </si>
  <si>
    <t>ไม่บันทึก audit log ของแอดมิน</t>
  </si>
  <si>
    <t>FND-19</t>
  </si>
  <si>
    <t>แอดมินระบุรหัสนิสิตที่ไม่มีในระบบ (FK violation)</t>
  </si>
  <si>
    <t>LST-01</t>
  </si>
  <si>
    <t>LST แจ้งของหาย</t>
  </si>
  <si>
    <t>LST-02</t>
  </si>
  <si>
    <t>บันทึก image_url ใน /assets/lostUploads/</t>
  </si>
  <si>
    <t>LST-03</t>
  </si>
  <si>
    <t>LST-04</t>
  </si>
  <si>
    <t>LST-05</t>
  </si>
  <si>
    <t>LST-06</t>
  </si>
  <si>
    <t>LST-07</t>
  </si>
  <si>
    <t>LST-08</t>
  </si>
  <si>
    <t>LST-09</t>
  </si>
  <si>
    <t>LST-10</t>
  </si>
  <si>
    <t>LST-11</t>
  </si>
  <si>
    <t>LST-12</t>
  </si>
  <si>
    <t>LST-13</t>
  </si>
  <si>
    <t>GET /lostItem</t>
  </si>
  <si>
    <t>LST-14</t>
  </si>
  <si>
    <t>GET /datalost (path สำรอง) ใช้งานได้เหมือนกัน</t>
  </si>
  <si>
    <t>LST-15</t>
  </si>
  <si>
    <t>GET /lostItem ฐานข้อมูลผิดพลาด</t>
  </si>
  <si>
    <t>LST-16</t>
  </si>
  <si>
    <t>LST-17</t>
  </si>
  <si>
    <t>LST-18</t>
  </si>
  <si>
    <t>LST-19</t>
  </si>
  <si>
    <t>HC-01</t>
  </si>
  <si>
    <t>api.public.test.js</t>
  </si>
  <si>
    <t>HC Health check</t>
  </si>
  <si>
    <t>GET /</t>
  </si>
  <si>
    <t>200 Hello World!</t>
  </si>
  <si>
    <t>HC-02</t>
  </si>
  <si>
    <t>GET /api-docs</t>
  </si>
  <si>
    <t>เปิดหน้า Swagger UI ได้</t>
  </si>
  <si>
    <t>REG-01</t>
  </si>
  <si>
    <t>REG POST /api/register</t>
  </si>
  <si>
    <t>ข้อมูลถูกต้อง</t>
  </si>
  <si>
    <t>201 และ normalize ชื่อ/อีเมล</t>
  </si>
  <si>
    <t>REG-02</t>
  </si>
  <si>
    <t>ไม่ส่ง student_id</t>
  </si>
  <si>
    <t>ระบบสร้างรหัส USERxxxx ให้ (ไม่เกิน 20 ตัวอักษร)</t>
  </si>
  <si>
    <t>REG-03</t>
  </si>
  <si>
    <t>ไม่มีชื่อ</t>
  </si>
  <si>
    <t>REG-04</t>
  </si>
  <si>
    <t>ไม่มีนามสกุล</t>
  </si>
  <si>
    <t>REG-05</t>
  </si>
  <si>
    <t>REG-06</t>
  </si>
  <si>
    <t>รหัสนิสิตยาวเกิน 20 ตัว</t>
  </si>
  <si>
    <t>REG-07</t>
  </si>
  <si>
    <t>REG-08</t>
  </si>
  <si>
    <t>รหัสนิสิต/อีเมลซ้ำ (unique violation)</t>
  </si>
  <si>
    <t>409</t>
  </si>
  <si>
    <t>REG-09</t>
  </si>
  <si>
    <t>ฐานข้อมูลผิดพลาดอื่น ๆ</t>
  </si>
  <si>
    <t>OTP-01</t>
  </si>
  <si>
    <t>OTP POST /api/send-otp</t>
  </si>
  <si>
    <t>OTP-02</t>
  </si>
  <si>
    <t>404 และไม่ส่งเมล</t>
  </si>
  <si>
    <t>OTP-03</t>
  </si>
  <si>
    <t>บัญชีถูกแบนถาวร</t>
  </si>
  <si>
    <t>403</t>
  </si>
  <si>
    <t>OTP-04</t>
  </si>
  <si>
    <t>บัญชีถูกระงับชั่วคราว (ยังไม่หมดเวลา)</t>
  </si>
  <si>
    <t>OTP-05</t>
  </si>
  <si>
    <t>ระงับชั่วคราวแต่หมดเวลาแล้ว</t>
  </si>
  <si>
    <t>ส่ง OTP ได้ตามปกติ</t>
  </si>
  <si>
    <t>OTP-06</t>
  </si>
  <si>
    <t>ส่งสำเร็จ</t>
  </si>
  <si>
    <t>ลบ OTP เก่า, บันทึก OTP 6 หลัก, ส่งอีเมลรหัสเดียวกัน</t>
  </si>
  <si>
    <t>OTP-08</t>
  </si>
  <si>
    <t>ขอ OTP ซ้ำภายใน 60 วินาที</t>
  </si>
  <si>
    <t>429 พร้อม retry_after และไม่ส่งรหัสใหม่</t>
  </si>
  <si>
    <t>OTP-07</t>
  </si>
  <si>
    <t>ส่งอีเมลล้มเหลว</t>
  </si>
  <si>
    <t>VOTP-01</t>
  </si>
  <si>
    <t>VOTP POST /api/verify-otp</t>
  </si>
  <si>
    <t>OTP 5 หลัก</t>
  </si>
  <si>
    <t>VOTP-02</t>
  </si>
  <si>
    <t>OTP มีตัวอักษร</t>
  </si>
  <si>
    <t>VOTP-03</t>
  </si>
  <si>
    <t>OTP เป็นตัวเลข (ไม่ใช่ string)</t>
  </si>
  <si>
    <t>VOTP-04</t>
  </si>
  <si>
    <t>VOTP-05</t>
  </si>
  <si>
    <t>ไม่มี OTP ที่ยังไม่หมดอายุ</t>
  </si>
  <si>
    <t>400 และล้าง OTP ที่หมดอายุ</t>
  </si>
  <si>
    <t>VOTP-06</t>
  </si>
  <si>
    <t>OTP ถูกต้อง</t>
  </si>
  <si>
    <t>200 พร้อม student_id และ token ผู้ใช้</t>
  </si>
  <si>
    <t>VOTP-07</t>
  </si>
  <si>
    <t>OTP ถูกต้องแต่บัญชีถูกแบน</t>
  </si>
  <si>
    <t>VOTP-08</t>
  </si>
  <si>
    <t>OTP ถูกต้องแต่ไม่พบผู้ใช้</t>
  </si>
  <si>
    <t>student_id = 'unknown' และไม่มี token</t>
  </si>
  <si>
    <t>VOTP-09</t>
  </si>
  <si>
    <t>VOTP-10</t>
  </si>
  <si>
    <t>OTP ผิด</t>
  </si>
  <si>
    <t>นับจำนวนครั้ง และยังไม่ลบ OTP</t>
  </si>
  <si>
    <t>VOTP-11</t>
  </si>
  <si>
    <t>OTP ผิดครบ 5 ครั้ง</t>
  </si>
  <si>
    <t>429 และลบ OTP ทิ้ง</t>
  </si>
  <si>
    <t>VOTP-12</t>
  </si>
  <si>
    <t>OTP ถูกต้องแต่บัญชีถูกระงับชั่วคราว</t>
  </si>
  <si>
    <t>USR-01</t>
  </si>
  <si>
    <t>USR ข้อมูลผู้ใช้</t>
  </si>
  <si>
    <t>GET /api/users/:email ของตัวเอง</t>
  </si>
  <si>
    <t>200 (ค้นด้วยอีเมลตัวพิมพ์เล็ก)</t>
  </si>
  <si>
    <t>USR-02</t>
  </si>
  <si>
    <t>GET /api/users/:email ไม่พบ</t>
  </si>
  <si>
    <t>USR-03</t>
  </si>
  <si>
    <t>GET /api/users/:email อีเมลผิดรูปแบบ</t>
  </si>
  <si>
    <t>USR-04</t>
  </si>
  <si>
    <t>GET /api/users/:email ไม่มี token</t>
  </si>
  <si>
    <t>USR-05</t>
  </si>
  <si>
    <t>GET /api/users/:email ของคนอื่น</t>
  </si>
  <si>
    <t>USR-06</t>
  </si>
  <si>
    <t>GET /user ด้วย token แอดมิน</t>
  </si>
  <si>
    <t>รายชื่อผู้ใช้ทั้งหมด</t>
  </si>
  <si>
    <t>USR-07</t>
  </si>
  <si>
    <t>GET /user ฐานข้อมูลผิดพลาด</t>
  </si>
  <si>
    <t>USR-08</t>
  </si>
  <si>
    <t>GET /user ด้วย token ผู้ใช้ทั่วไป</t>
  </si>
  <si>
    <t>RNK-01</t>
  </si>
  <si>
    <t>RNK จัดอันดับ</t>
  </si>
  <si>
    <t>GET /api/rankings/returners</t>
  </si>
  <si>
    <t>top 10 ผู้คืนของ</t>
  </si>
  <si>
    <t>RNK-02</t>
  </si>
  <si>
    <t>GET /api/rankings/lost-locations</t>
  </si>
  <si>
    <t>จุดที่ของหายบ่อย</t>
  </si>
  <si>
    <t>RNK-03</t>
  </si>
  <si>
    <t>/api/rankings/returners ฐานข้อมูลผิดพลาด</t>
  </si>
  <si>
    <t>/api/rankings/lost-locations ฐานข้อมูลผิดพลาด</t>
  </si>
  <si>
    <t>LN-01</t>
  </si>
  <si>
    <t>LN POST /api/notifications/line</t>
  </si>
  <si>
    <t>key ถูกต้องแต่ไม่มี message</t>
  </si>
  <si>
    <t>LN-02</t>
  </si>
  <si>
    <t>ตั้ง NOTIFY_API_KEY แล้วส่ง key ผิด</t>
  </si>
  <si>
    <t>LN-03</t>
  </si>
  <si>
    <t>key ถูกต้อง</t>
  </si>
  <si>
    <t>ส่งข้อความที่ trim แล้ว</t>
  </si>
  <si>
    <t>LN-04</t>
  </si>
  <si>
    <t>LINE API ล้มเหลว</t>
  </si>
  <si>
    <t>LN-05</t>
  </si>
  <si>
    <t>ไม่ได้ตั้ง NOTIFY_API_KEY</t>
  </si>
  <si>
    <t>endpoint ปิดใช้งาน (401)</t>
  </si>
  <si>
    <t>RPT-01</t>
  </si>
  <si>
    <t>api.report.test.js</t>
  </si>
  <si>
    <t>RPT POST /report</t>
  </si>
  <si>
    <t>ข้อมูลครบ</t>
  </si>
  <si>
    <t>201 พร้อม report_id รูปแบบ RPT-ปี-เลข 6 หลัก</t>
  </si>
  <si>
    <t>RPT-02</t>
  </si>
  <si>
    <t>รายงานรายการ lost</t>
  </si>
  <si>
    <t>ตรวจเจ้าของจากตาราง lost_items</t>
  </si>
  <si>
    <t>RPT-03</t>
  </si>
  <si>
    <t>ไม่มี reported_item_id</t>
  </si>
  <si>
    <t>RPT-04</t>
  </si>
  <si>
    <t>ไม่มี item_type</t>
  </si>
  <si>
    <t>RPT-05</t>
  </si>
  <si>
    <t>ไม่มี reason</t>
  </si>
  <si>
    <t>RPT-12</t>
  </si>
  <si>
    <t>reported_item_id ไม่ใช่ตัวเลข</t>
  </si>
  <si>
    <t>RPT-06</t>
  </si>
  <si>
    <t>item_type ไม่ใช่ found/lost</t>
  </si>
  <si>
    <t>RPT-07</t>
  </si>
  <si>
    <t>รายงานโพสต์ของตัวเอง</t>
  </si>
  <si>
    <t>RPT-08</t>
  </si>
  <si>
    <t>ไม่เข้าสู่ระบบ</t>
  </si>
  <si>
    <t>401 และไม่บันทึกรายงาน</t>
  </si>
  <si>
    <t>RPT-09</t>
  </si>
  <si>
    <t>แนบรูปหลักฐาน</t>
  </si>
  <si>
    <t>evidence_url อยู่ใน /assets/reportUploads/</t>
  </si>
  <si>
    <t>RPT-10</t>
  </si>
  <si>
    <t>แนบไฟล์หลักฐานที่ไม่ใช่รูป</t>
  </si>
  <si>
    <t>RPT-11</t>
  </si>
  <si>
    <t>RPT-13</t>
  </si>
  <si>
    <t>ไม่พบรายการที่รายงาน</t>
  </si>
  <si>
    <t>RPT-14</t>
  </si>
  <si>
    <t>ผู้รายงานมาจาก token ไม่ใช่ body (ปลอม reporter_student_id ไม่ได้)</t>
  </si>
  <si>
    <t>SET-01</t>
  </si>
  <si>
    <t>api.settings.test.js</t>
  </si>
  <si>
    <t>SET ค่าระบบ</t>
  </si>
  <si>
    <t>GET /admin/settings ยังไม่เคยตั้งค่า</t>
  </si>
  <si>
    <t>คืนค่าเริ่มต้นทั้งหมด</t>
  </si>
  <si>
    <t>SET-02</t>
  </si>
  <si>
    <t>GET /admin/settings ไม่มี token แอดมิน</t>
  </si>
  <si>
    <t>SET-03</t>
  </si>
  <si>
    <t>PUT /admin/settings แก้เกณฑ์จับคู่</t>
  </si>
  <si>
    <t>บันทึก + audit log ใน transaction</t>
  </si>
  <si>
    <t>SET-04</t>
  </si>
  <si>
    <t>PUT ค่าเดิม (ไม่เปลี่ยนแปลง)</t>
  </si>
  <si>
    <t>ไม่บันทึกและไม่สร้าง audit log</t>
  </si>
  <si>
    <t>SET-05</t>
  </si>
  <si>
    <t>เกณฑ์จับคู่ต่ำกว่า 30</t>
  </si>
  <si>
    <t>400 ไม่บันทึก</t>
  </si>
  <si>
    <t>SET-06</t>
  </si>
  <si>
    <t>เกียรติบัตรทุก 0 ครั้ง</t>
  </si>
  <si>
    <t>SET-07</t>
  </si>
  <si>
    <t>หมวดหมู่น้อยกว่า 2 รายการ</t>
  </si>
  <si>
    <t>SET-08</t>
  </si>
  <si>
    <t>ตัวเลือกวันระงับเกิน 365 วัน</t>
  </si>
  <si>
    <t>SET-09</t>
  </si>
  <si>
    <t>ประกาศวันเริ่มอยู่หลังวันสิ้นสุด</t>
  </si>
  <si>
    <t>SET-16</t>
  </si>
  <si>
    <t>เปิดประกาศแต่ไม่มีข้อความ</t>
  </si>
  <si>
    <t>SET-10</t>
  </si>
  <si>
    <t>คีย์ที่ไม่รู้จัก</t>
  </si>
  <si>
    <t>SET-17</t>
  </si>
  <si>
    <t>ประกาศ tone ที่ไม่รู้จัก</t>
  </si>
  <si>
    <t>ปรับเป็น info</t>
  </si>
  <si>
    <t>SET-11</t>
  </si>
  <si>
    <t>PUT body ไม่มี settings</t>
  </si>
  <si>
    <t>SET-12</t>
  </si>
  <si>
    <t>บันทึก audit log ไม่ได้</t>
  </si>
  <si>
    <t>ROLLBACK และตอบ 500</t>
  </si>
  <si>
    <t>SET-13</t>
  </si>
  <si>
    <t>GET /api/settings/public</t>
  </si>
  <si>
    <t>ส่งเฉพาะค่าสาธารณะ ไม่มีค่าภายใน</t>
  </si>
  <si>
    <t>SET-14</t>
  </si>
  <si>
    <t>ประกาศที่อยู่ในช่วงวันที่</t>
  </si>
  <si>
    <t>แสดงใน /api/settings/public</t>
  </si>
  <si>
    <t>SET-15</t>
  </si>
  <si>
    <t>ประกาศที่หมดอายุแล้ว</t>
  </si>
  <si>
    <t>ไม่แสดง</t>
  </si>
  <si>
    <t>MNT-01</t>
  </si>
  <si>
    <t>MNT โหมดปิดปรับปรุง</t>
  </si>
  <si>
    <t>เปิดโหมดปิดปรับปรุง</t>
  </si>
  <si>
    <t>ผู้ใช้ทั่วไปได้ 503 พร้อมข้อความและ Retry-After</t>
  </si>
  <si>
    <t>MNT-02</t>
  </si>
  <si>
    <t>ผู้ใช้ที่ล็อกอิน (token ผู้ใช้) ก็ถูกปิดกั้น</t>
  </si>
  <si>
    <t>MNT-03</t>
  </si>
  <si>
    <t>แอดมินยังเรียก API ได้ตามปกติ</t>
  </si>
  <si>
    <t>MNT-04</t>
  </si>
  <si>
    <t>เส้นทาง /api/settings/public ยังเปิดอยู่</t>
  </si>
  <si>
    <t>เส้นทาง /admin/auth/login ยังเปิดอยู่</t>
  </si>
  <si>
    <t>เส้นทาง / ยังเปิดอยู่</t>
  </si>
  <si>
    <t>MNT-05</t>
  </si>
  <si>
    <t>ปิดโหมดปิดปรับปรุง</t>
  </si>
  <si>
    <t>ผู้ใช้ใช้งานได้ปกติ</t>
  </si>
  <si>
    <t>MNT-06</t>
  </si>
  <si>
    <t>อ่านค่าระบบไม่ได้ (ฐานข้อมูลล่ม)</t>
  </si>
  <si>
    <t>ใช้ค่าเริ่มต้น (ไม่ปิดระบบ)</t>
  </si>
  <si>
    <t>AUD-01</t>
  </si>
  <si>
    <t>AUD ประวัติการดำเนินการของแอดมิน</t>
  </si>
  <si>
    <t>GET /admin/audit-logs</t>
  </si>
  <si>
    <t>รายการ + จำนวนทั้งหมด + รายชื่อแอดมิน</t>
  </si>
  <si>
    <t>AUD-02</t>
  </si>
  <si>
    <t>กรองตามกลุ่ม + คำค้น + ช่วงวันที่</t>
  </si>
  <si>
    <t>เงื่อนไขและพารามิเตอร์ถูกต้อง</t>
  </si>
  <si>
    <t>AUD-03</t>
  </si>
  <si>
    <t>group ไม่ถูกต้อง</t>
  </si>
  <si>
    <t>AUD-04</t>
  </si>
  <si>
    <t>admin_id ไม่ใช่ตัวเลข</t>
  </si>
  <si>
    <t>AUD-05</t>
  </si>
  <si>
    <t>target_type ไม่ถูกต้อง</t>
  </si>
  <si>
    <t>AUD-06</t>
  </si>
  <si>
    <t>AUD-07</t>
  </si>
  <si>
    <t>ไม่มี endpoint แก้ไข/ลบประวัติ (append-only)</t>
  </si>
  <si>
    <t>AUD-08</t>
  </si>
  <si>
    <t>AUD-09</t>
  </si>
  <si>
    <t>ข้อมูลลับไม่ถูกเก็บลง details (strip password/token/otp)</t>
  </si>
  <si>
    <t>SRV-01</t>
  </si>
  <si>
    <t>api.startup.test.js</t>
  </si>
  <si>
    <t>startServer สร้างตาราง otp_codes / admins / reports และเพิ่มคอลัมน์ที่จำเป็น</t>
  </si>
  <si>
    <t>SRV-02</t>
  </si>
  <si>
    <t>สร้างบัญชีแอดมินเริ่มต้นจาก ADMIN_SEED_* (อีเมลตัวพิมพ์เล็ก, รหัสผ่านถูก hash)</t>
  </si>
  <si>
    <t>SRV-03</t>
  </si>
  <si>
    <t>ไม่ได้ตั้งค่า MAIL_USER/MAIL_APP_PASSWORD</t>
  </si>
  <si>
    <t>/api/send-otp ตอบ 503</t>
  </si>
  <si>
    <t>ME-01</t>
  </si>
  <si>
    <t>api.user.test.js</t>
  </si>
  <si>
    <t>ME โปรไฟล์ /api/me</t>
  </si>
  <si>
    <t>GET /api/me</t>
  </si>
  <si>
    <t>ข้อมูลของผู้ใช้จาก token</t>
  </si>
  <si>
    <t>ME-02</t>
  </si>
  <si>
    <t>GET /api/me ไม่มี token</t>
  </si>
  <si>
    <t>ME-03</t>
  </si>
  <si>
    <t>GET /api/me ด้วย token แอดมิน</t>
  </si>
  <si>
    <t>401 (ต้องเป็น token ผู้ใช้)</t>
  </si>
  <si>
    <t>ME-04</t>
  </si>
  <si>
    <t>GET /api/me token หมดอายุ</t>
  </si>
  <si>
    <t>ME-05</t>
  </si>
  <si>
    <t>PATCH /api/me แก้ชื่อ + เบอร์โทร</t>
  </si>
  <si>
    <t>200 (trim และบันทึกเฉพาะของตัวเอง)</t>
  </si>
  <si>
    <t>ME-06</t>
  </si>
  <si>
    <t>ME-07</t>
  </si>
  <si>
    <t>เบอร์โทรผิดรูปแบบ</t>
  </si>
  <si>
    <t>ME-08</t>
  </si>
  <si>
    <t>อีเมลสำรองผิดรูปแบบ</t>
  </si>
  <si>
    <t>ME-09</t>
  </si>
  <si>
    <t>เลือกติดต่อทางโทรศัพท์แต่ไม่มีเบอร์</t>
  </si>
  <si>
    <t>ME-10</t>
  </si>
  <si>
    <t>ช่องทางติดต่อไม่รู้จัก</t>
  </si>
  <si>
    <t>ME-11</t>
  </si>
  <si>
    <t>POST /api/me/avatar ไม่แนบรูป</t>
  </si>
  <si>
    <t>INB-01</t>
  </si>
  <si>
    <t>INB กล่องแจ้งเตือน /api/inbox</t>
  </si>
  <si>
    <t>GET /api/inbox</t>
  </si>
  <si>
    <t>รายการล่าสุด 30 รายการ + จำนวนที่ยังไม่อ่าน</t>
  </si>
  <si>
    <t>INB-02</t>
  </si>
  <si>
    <t>อ่านแล้วทีละรายการ</t>
  </si>
  <si>
    <t>อัปเดตเฉพาะของตัวเอง</t>
  </si>
  <si>
    <t>INB-03</t>
  </si>
  <si>
    <t>id ไม่ใช่ตัวเลข</t>
  </si>
  <si>
    <t>INB-04</t>
  </si>
  <si>
    <t>อ่านทั้งหมด</t>
  </si>
  <si>
    <t>อัปเดตทุกรายการที่ยังไม่อ่านของตัวเอง</t>
  </si>
  <si>
    <t>INB-05</t>
  </si>
  <si>
    <t>CLM-01</t>
  </si>
  <si>
    <t>CLM ติดต่อเจ้าของโพสต์ /api/claims</t>
  </si>
  <si>
    <t>ส่งคำขอครั้งแรก</t>
  </si>
  <si>
    <t>201 แจ้งเตือนเจ้าของ และคืนช่องทางติดต่อ</t>
  </si>
  <si>
    <t>CLM-02</t>
  </si>
  <si>
    <t>ส่งซ้ำรายการเดิม</t>
  </si>
  <si>
    <t>200 และไม่แจ้งเตือนซ้ำ</t>
  </si>
  <si>
    <t>CLM-03</t>
  </si>
  <si>
    <t>ติดต่อโพสต์ของตัวเอง</t>
  </si>
  <si>
    <t>CLM-04</t>
  </si>
  <si>
    <t>รายการที่คืนแล้ว</t>
  </si>
  <si>
    <t>CLM-05</t>
  </si>
  <si>
    <t>ไม่พบรายการ</t>
  </si>
  <si>
    <t>CLM-06</t>
  </si>
  <si>
    <t>item_type ไม่ถูกต้อง</t>
  </si>
  <si>
    <t>CLM-07</t>
  </si>
  <si>
    <t>item_id ไม่ใช่ตัวเลข</t>
  </si>
  <si>
    <t>MYI-01</t>
  </si>
  <si>
    <t>MYI โพสต์ของฉัน /api/my-items</t>
  </si>
  <si>
    <t>GET /api/my-items</t>
  </si>
  <si>
    <t>เฉพาะโพสต์ของตัวเอง</t>
  </si>
  <si>
    <t>MYI-02</t>
  </si>
  <si>
    <t>แก้ไขโพสต์ของคนอื่น (ไม่พบในโพสต์ของฉัน)</t>
  </si>
  <si>
    <t>404 ไม่อัปเดต</t>
  </si>
  <si>
    <t>MYI-03</t>
  </si>
  <si>
    <t>แก้ไขโพสต์ของตัวเอง</t>
  </si>
  <si>
    <t>200 (WHERE มี student_id)</t>
  </si>
  <si>
    <t>MYI-04</t>
  </si>
  <si>
    <t>แก้ไขโพสต์ที่คืนแล้ว</t>
  </si>
  <si>
    <t>MYI-05</t>
  </si>
  <si>
    <t>ลบโพสต์ของตัวเอง</t>
  </si>
  <si>
    <t>ลบรายการและคำขอที่เกี่ยวข้องใน transaction</t>
  </si>
  <si>
    <t>MYI-06</t>
  </si>
  <si>
    <t>ลบโพสต์ที่คืนของสำเร็จแล้ว</t>
  </si>
  <si>
    <t>400 และ ROLLBACK</t>
  </si>
  <si>
    <t>MYI-07</t>
  </si>
  <si>
    <t>type ไม่ถูกต้อง</t>
  </si>
  <si>
    <t>MYI-08</t>
  </si>
  <si>
    <t>MW-01</t>
  </si>
  <si>
    <t>unit.adminAuthMiddleware.test.js</t>
  </si>
  <si>
    <t>adminAuth middleware</t>
  </si>
  <si>
    <t>แนบ req.admin และเรียก next()</t>
  </si>
  <si>
    <t>MW-02</t>
  </si>
  <si>
    <t>ไม่มี header</t>
  </si>
  <si>
    <t>MW-03</t>
  </si>
  <si>
    <t>scheme ไม่ใช่ Bearer</t>
  </si>
  <si>
    <t>MW-04</t>
  </si>
  <si>
    <t>Bearer แต่ไม่มี token</t>
  </si>
  <si>
    <t>MW-05</t>
  </si>
  <si>
    <t>token ปลอม</t>
  </si>
  <si>
    <t>MW-06</t>
  </si>
  <si>
    <t>token เซ็นด้วย secret อื่น</t>
  </si>
  <si>
    <t>MW-07</t>
  </si>
  <si>
    <t>CSV-01</t>
  </si>
  <si>
    <t>unit.certificateService.test.js</t>
  </si>
  <si>
    <t>certificateService</t>
  </si>
  <si>
    <t>generateCertificatePDF คืน Buffer ที่เป็นไฟล์ PDF</t>
  </si>
  <si>
    <t>CSV-02</t>
  </si>
  <si>
    <t>sendCertificateEmail แนบ PDF และส่งถึงอีเมลผู้ใช้</t>
  </si>
  <si>
    <t>CSV-03</t>
  </si>
  <si>
    <t>throw</t>
  </si>
  <si>
    <t>CSV-04</t>
  </si>
  <si>
    <t>issueCertificate สร้าง PDF แล้วส่งอีเมลในขั้นตอนเดียว</t>
  </si>
  <si>
    <t>LINE-01</t>
  </si>
  <si>
    <t>unit.lineNotification.test.js</t>
  </si>
  <si>
    <t>sendLineNotification</t>
  </si>
  <si>
    <t>ไม่ได้ตั้งค่า token</t>
  </si>
  <si>
    <t>ข้าม ไม่เรียก API</t>
  </si>
  <si>
    <t>LINE-02</t>
  </si>
  <si>
    <t>ส่งสำเร็จไปยังผู้รับ default พร้อม Bearer token</t>
  </si>
  <si>
    <t>LINE-03</t>
  </si>
  <si>
    <t>ระบุผู้รับเองจะใช้แทน default</t>
  </si>
  <si>
    <t>LINE-04</t>
  </si>
  <si>
    <t>ข้อความยาวเกิน 5000 ตัวอักษรถูกตัด</t>
  </si>
  <si>
    <t>LINE-05</t>
  </si>
  <si>
    <t>LINE API ตอบ error</t>
  </si>
  <si>
    <t>throw พร้อมรหัสสถานะ</t>
  </si>
  <si>
    <t>MDL-01</t>
  </si>
  <si>
    <t>unit.models.test.js</t>
  </si>
  <si>
    <t>certificateModel</t>
  </si>
  <si>
    <t>getUserByEmail พบผู้ใช้</t>
  </si>
  <si>
    <t>MDL-02</t>
  </si>
  <si>
    <t>getUserByEmail ไม่พบ</t>
  </si>
  <si>
    <t>null</t>
  </si>
  <si>
    <t>MDL-03</t>
  </si>
  <si>
    <t>incrementSuccessfulReturnsByEmail คืนค่าที่อัปเดตแล้ว</t>
  </si>
  <si>
    <t>MDL-04</t>
  </si>
  <si>
    <t>incrementSuccessfulReturnsByEmail ไม่พบผู้ใช้</t>
  </si>
  <si>
    <t>MDL-05</t>
  </si>
  <si>
    <t>userModels</t>
  </si>
  <si>
    <t>getUserData คืน rows ทั้งหมด</t>
  </si>
  <si>
    <t>MDL-06</t>
  </si>
  <si>
    <t>getUserData ฐานข้อมูลผิดพลาด</t>
  </si>
  <si>
    <t>reject ด้วยข้อความ</t>
  </si>
  <si>
    <t>VAL-01</t>
  </si>
  <si>
    <t>unit.validation.test.js</t>
  </si>
  <si>
    <t>validateEmail</t>
  </si>
  <si>
    <t>validateEmail("user@ku.th") === true</t>
  </si>
  <si>
    <t>VAL-02</t>
  </si>
  <si>
    <t>validateEmail("  user@ku.th  ") === true</t>
  </si>
  <si>
    <t>VAL-03</t>
  </si>
  <si>
    <t>validateEmail("user@ku") === false</t>
  </si>
  <si>
    <t>VAL-04</t>
  </si>
  <si>
    <t>validateEmail("userku.th") === false</t>
  </si>
  <si>
    <t>VAL-05</t>
  </si>
  <si>
    <t>validateEmail("us er@ku.th") === false</t>
  </si>
  <si>
    <t>VAL-06</t>
  </si>
  <si>
    <t>validateEmail("") === false</t>
  </si>
  <si>
    <t>VAL-07</t>
  </si>
  <si>
    <t>validateEmail(undefined) === false</t>
  </si>
  <si>
    <t>VAL-08</t>
  </si>
  <si>
    <t>validateEmail(12345) === false</t>
  </si>
  <si>
    <t>VAL-09</t>
  </si>
  <si>
    <t>อีเมลยาวเกิน 255 ตัวอักษรไม่ผ่าน</t>
  </si>
  <si>
    <t>VAL-10</t>
  </si>
  <si>
    <t>validateItem</t>
  </si>
  <si>
    <t>ข้อมูลครบถ้วน</t>
  </si>
  <si>
    <t>คืนค่าที่ trim แล้ว</t>
  </si>
  <si>
    <t>VAL-11</t>
  </si>
  <si>
    <t>ฟิลด์ที่ไม่บังคับว่าง</t>
  </si>
  <si>
    <t>VAL-12</t>
  </si>
  <si>
    <t>ข้อมูลไม่ถูกต้อง {"found_date": "01/09/2026"}</t>
  </si>
  <si>
    <t>error</t>
  </si>
  <si>
    <t>VAL-13</t>
  </si>
  <si>
    <t>ข้อมูลไม่ถูกต้อง {"found_date": "2026-02-30"}</t>
  </si>
  <si>
    <t>VAL-14</t>
  </si>
  <si>
    <t>ข้อมูลไม่ถูกต้อง {"found_date": undefined}</t>
  </si>
  <si>
    <t>VAL-15</t>
  </si>
  <si>
    <t>ข้อมูลไม่ถูกต้อง {"item_name": ""}</t>
  </si>
  <si>
    <t>VAL-16</t>
  </si>
  <si>
    <t>ข้อมูลไม่ถูกต้อง {"item_name": "   "}</t>
  </si>
  <si>
    <t>VAL-17</t>
  </si>
  <si>
    <t>ข้อมูลไม่ถูกต้อง {"item_name": "xxxxxxxxxxxxxxxxxxxxxxxxxxxxxxxxxxxxxxxxxxxxxxxxxxxxxxxxxxxxxxxxxxxxxxxxxxxxxxxxxxxxxxxxxxxxxxxxxxxxxxxxxxxxxxxxxxxxxxxxxxxxxxxxxxxxxxxxxxxxxxxxxxxxxxxxxxxxxxxxxxxxxxxxxxxxxxxxxxxxxxxxxxxxxxxxxxxxxxxxxxxxxxxxxxxxxxxxxxxxxxxxxxxxxxxxxxxxxxxxxxxxxxxxxxxxxxxx"}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</si>
  <si>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VAL-18</t>
  </si>
  <si>
    <t>ข้อมูลไม่ถูกต้อง {"item_name": 123}</t>
  </si>
  <si>
    <t>VAL-19</t>
  </si>
  <si>
    <t>ข้อมูลไม่ถูกต้อง {"found_location": ""}</t>
  </si>
  <si>
    <t>VAL-20</t>
  </si>
  <si>
    <t>ข้อมูลไม่ถูกต้อง {"category": "xxxxxxxxxxxxxxxxxxxxxxxxxxxxxxxxxxxxxxxxxxxxxxxxxxxxxxxxxxxxxxxxxxxxxxxxxxxxxxxxxxxxxxxxxxxxxxxxxxxxx"}</t>
  </si>
  <si>
    <t>VAL-21</t>
  </si>
  <si>
    <t>ข้อมูลไม่ถูกต้อง {"description":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</si>
  <si>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VAL-22</t>
  </si>
  <si>
    <t>ใช้กับ lost item (lost_date / lost_location) ได้</t>
  </si>
  <si>
    <t>Backend LINE Bot / จับคู่ / จัดการรายการ — node:test (+ PostgreSQL 16 จริง)</t>
  </si>
  <si>
    <t>ไฟล์เทส: FOUNDLOST/backend/test · คำสั่ง: npm --prefix FOUNDLOST/backend test · รันเมื่อ 27 ตุลาคม 2569 (ผลจากไฟล์ใน testcase/results)</t>
  </si>
  <si>
    <t>NT-01</t>
  </si>
  <si>
    <t>adminItems.test.js</t>
  </si>
  <si>
    <t>สิทธิ์แอดมิน (ตรวจที่ backend)</t>
  </si>
  <si>
    <t>/admin/items/summary?type=lost ไม่มี token / token ผู้ใช้ทั่วไป</t>
  </si>
  <si>
    <t>NT-02</t>
  </si>
  <si>
    <t>/admin/items/search?type=lost ไม่มี token / token ผู้ใช้ทั่วไป</t>
  </si>
  <si>
    <t>NT-03</t>
  </si>
  <si>
    <t>/admin/items/lost/1 ไม่มี token / token ผู้ใช้ทั่วไป</t>
  </si>
  <si>
    <t>NT-04</t>
  </si>
  <si>
    <t>GET /admin/items/summary</t>
  </si>
  <si>
    <t>type ผิด</t>
  </si>
  <si>
    <t>NT-05</t>
  </si>
  <si>
    <t>นับจากสถานะจริง (open/returned) + 7 วันล่าสุด และคืนหมวดที่มีในรายการ</t>
  </si>
  <si>
    <t>NT-06</t>
  </si>
  <si>
    <t>GET /admin/items/search</t>
  </si>
  <si>
    <t>ค้นหา + ตัวกรองทั้งหมด</t>
  </si>
  <si>
    <t>SQL ใช้พารามิเตอร์ (ไม่ต่อสตริง) และแบ่งหน้าได้</t>
  </si>
  <si>
    <t>NT-07</t>
  </si>
  <si>
    <t>ไม่มีตัวกรอง</t>
  </si>
  <si>
    <t>ไม่มี WHERE และ limit ถูกจำกัดไม่เกิน 100</t>
  </si>
  <si>
    <t>NT-08</t>
  </si>
  <si>
    <t>สถานะ/วันที่ไม่ถูกต้อง</t>
  </si>
  <si>
    <t>400 โดยไม่แตะฐานข้อมูล</t>
  </si>
  <si>
    <t>NT-09</t>
  </si>
  <si>
    <t>GET /admin/items/:type/:item_id</t>
  </si>
  <si>
    <t>พบรายการ</t>
  </si>
  <si>
    <t>ข้อมูล + ผู้ติดต่อ + จำนวนคู่ + ประวัติ (target ของ audit log ตรงกับรายการ)</t>
  </si>
  <si>
    <t>NT-10</t>
  </si>
  <si>
    <t>ไม่พบ → 404 / id หรือ type ผิด</t>
  </si>
  <si>
    <t>NT-11</t>
  </si>
  <si>
    <t>existingFeatures.test.js</t>
  </si>
  <si>
    <t>POST /lostItem (ระบบเดิม)</t>
  </si>
  <si>
    <t>ยังต้องเข้าสู่ระบบ</t>
  </si>
  <si>
    <t>NT-12</t>
  </si>
  <si>
    <t>ข้อมูลไม่ครบ</t>
  </si>
  <si>
    <t>400 เหมือนเดิม</t>
  </si>
  <si>
    <t>NT-13</t>
  </si>
  <si>
    <t>แจ้งของหายสำเร็จ</t>
  </si>
  <si>
    <t>201 พร้อม item_id และเรียกจับคู่เบื้องหลังโดยไม่บล็อกการตอบกลับ</t>
  </si>
  <si>
    <t>NT-14</t>
  </si>
  <si>
    <t>GET /api/my-items/:type/:id/matches (ลิงก์จากข้อความ LINE)</t>
  </si>
  <si>
    <t>NT-15</t>
  </si>
  <si>
    <t>รายการของผู้อื่น</t>
  </si>
  <si>
    <t>404 (query กรองด้วย student_id จาก token เสมอ)</t>
  </si>
  <si>
    <t>NT-16</t>
  </si>
  <si>
    <t>เจ้าของรายการ</t>
  </si>
  <si>
    <t>NT-17</t>
  </si>
  <si>
    <t>พารามิเตอร์แปลกปลอม</t>
  </si>
  <si>
    <t>NT-18</t>
  </si>
  <si>
    <t>sendLineNotification (ฟีดแจ้งผู้ดูแลเดิม)</t>
  </si>
  <si>
    <t>ไม่ได้ตั้งค่า</t>
  </si>
  <si>
    <t>skipped ไม่เรียก LINE</t>
  </si>
  <si>
    <t>NT-19</t>
  </si>
  <si>
    <t>ตั้งค่าแล้ว</t>
  </si>
  <si>
    <t>push ข้อความไปยัง LINE_USER_ID</t>
  </si>
  <si>
    <t>NT-20</t>
  </si>
  <si>
    <t>lineAccountLinking.test.js</t>
  </si>
  <si>
    <t>accountLinking</t>
  </si>
  <si>
    <t>ยืนยันด้วยรหัสที่ถูกต้อง</t>
  </si>
  <si>
    <t>เชื่อมบัญชีและเปิดรับแจ้งเตือน</t>
  </si>
  <si>
    <t>NT-21</t>
  </si>
  <si>
    <t>ดูตัวอย่าง (preview) ไม่ใช้รหัส</t>
  </si>
  <si>
    <t>NT-22</t>
  </si>
  <si>
    <t>รหัสใช้ได้ครั้งเดียว</t>
  </si>
  <si>
    <t>NT-23</t>
  </si>
  <si>
    <t>รหัสหมดอายุหลังครบเวลา</t>
  </si>
  <si>
    <t>NT-24</t>
  </si>
  <si>
    <t>รหัสผิดรูปแบบหรือไม่มีในระบบ</t>
  </si>
  <si>
    <t>invalid</t>
  </si>
  <si>
    <t>NT-25</t>
  </si>
  <si>
    <t>ขอรหัสใหม่</t>
  </si>
  <si>
    <t>รหัสเก่าใช้ไม่ได้</t>
  </si>
  <si>
    <t>NT-26</t>
  </si>
  <si>
    <t>LINE ที่เชื่อมกับบัญชีอื่นแล้ว ไม่ถูกย้ายไปบัญชีใหม่โดยอัตโนมัติ</t>
  </si>
  <si>
    <t>NT-27</t>
  </si>
  <si>
    <t>บัญชีที่เชื่อม LINE หนึ่งแล้ว เชื่อม LINE อื่นซ้ำไม่ได้</t>
  </si>
  <si>
    <t>NT-28</t>
  </si>
  <si>
    <t>ยกเลิกการเชื่อมแล้วเชื่อมใหม่ได้ / เชื่อมซ้ำกับบัญชีเดิมได้</t>
  </si>
  <si>
    <t>NT-29</t>
  </si>
  <si>
    <t>ผู้ใช้ที่ยกเลิกการเป็นเพื่อนแล้วใช้ลิงก์ไม่ได้</t>
  </si>
  <si>
    <t>NT-30</t>
  </si>
  <si>
    <t>/api/line API (ต้องเข้าสู่ระบบ)</t>
  </si>
  <si>
    <t>ไม่มี token / token ปลอม</t>
  </si>
  <si>
    <t>NT-31</t>
  </si>
  <si>
    <t>เชื่อมบัญชีใช้ student_id จาก JWT เท่านั้น (ไม่รับจาก body)</t>
  </si>
  <si>
    <t>NT-32</t>
  </si>
  <si>
    <t>รหัสหมดอายุ/ใช้แล้ว ได้ข้อความภาษาไทยและ code ที่ชัดเจน</t>
  </si>
  <si>
    <t>NT-33</t>
  </si>
  <si>
    <t>ปิดการแจ้งเตือน / ยกเลิกการเชื่อม ทำได้เฉพาะบัญชีตัวเอง</t>
  </si>
  <si>
    <t>NT-34</t>
  </si>
  <si>
    <t>GET /api/line/info เปิดได้โดยไม่ต้องเข้าสู่ระบบ และไม่มีข้อมูลลับ</t>
  </si>
  <si>
    <t>NT-35</t>
  </si>
  <si>
    <t>ประวัติการแจ้งเตือน LINE แสดงเฉพาะของผู้ใช้คนนั้น</t>
  </si>
  <si>
    <t>NT-36</t>
  </si>
  <si>
    <t>lineMatchNotification.test.js</t>
  </si>
  <si>
    <t>Matching Algorithm เดิม (services/matching.js)</t>
  </si>
  <si>
    <t>ของหายกับของพบที่ชื่อ/หมวด/สถานที่/วันใกล้กัน ได้คะแนนสูงพร้อมเหตุผล</t>
  </si>
  <si>
    <t>NT-37</t>
  </si>
  <si>
    <t>findMatches ค้นเฉพาะโพสต์ฝั่งตรงข้ามที่ยังเปิด ไม่รวมโพสต์ของตัวเอง และกรองตามคะแนน</t>
  </si>
  <si>
    <t>NT-38</t>
  </si>
  <si>
    <t>แจ้งเตือนเมื่อมีคู่รายการใหม่</t>
  </si>
  <si>
    <t>ของหายใหม่ที่มีของพบตรงกัน</t>
  </si>
  <si>
    <t>push LINE ถึงเจ้าของ พร้อมรายละเอียดและปุ่มเปิดเว็บ</t>
  </si>
  <si>
    <t>NT-39</t>
  </si>
  <si>
    <t>ของพบใหม่</t>
  </si>
  <si>
    <t>แจ้งเจ้าของโพสต์ของหายที่อาจตรงกัน</t>
  </si>
  <si>
    <t>NT-40</t>
  </si>
  <si>
    <t>ไม่พบคู่ที่ผ่านเกณฑ์</t>
  </si>
  <si>
    <t>ไม่ส่งแจ้งเตือนใด ๆ</t>
  </si>
  <si>
    <t>NT-41</t>
  </si>
  <si>
    <t>คู่รายการเดิมแจ้งเพียงครั้งเดียว แม้จับคู่ซ้ำ</t>
  </si>
  <si>
    <t>NT-42</t>
  </si>
  <si>
    <t>ผู้ใช้ที่ยังไม่เชื่อม LINE / ปิดแจ้งเตือน / ยกเลิกเพื่อน</t>
  </si>
  <si>
    <t>ได้เฉพาะแจ้งเตือนในเว็บ</t>
  </si>
  <si>
    <t>NT-43</t>
  </si>
  <si>
    <t>ยังไม่ได้ตั้งค่า LINE</t>
  </si>
  <si>
    <t>ข้ามการส่ง (ไม่แสร้งว่าส่งสำเร็จ) แต่แจ้งเตือนในเว็บยังทำงาน</t>
  </si>
  <si>
    <t>NT-44</t>
  </si>
  <si>
    <t>LINE ตอบ 500 → บันทึกข้อผิดพลาดและนัดลองใหม่ด้วย retry key เดิม</t>
  </si>
  <si>
    <t>สำเร็จ</t>
  </si>
  <si>
    <t>NT-45</t>
  </si>
  <si>
    <t>ผลไม่แน่ชัด (timeout)</t>
  </si>
  <si>
    <t>ลองใหม่ได้ และถ้า LINE รับไปแล้ว (409 + accepted id) ถือว่าส่งสำเร็จโดยไม่ส่งซ้ำ</t>
  </si>
  <si>
    <t>NT-46</t>
  </si>
  <si>
    <t>LINE ตอบ 400 (คำขอผิด)</t>
  </si>
  <si>
    <t>failed ไม่ลองใหม่</t>
  </si>
  <si>
    <t>NT-47</t>
  </si>
  <si>
    <t>ลองใหม่ครบจำนวนครั้ง</t>
  </si>
  <si>
    <t>failed</t>
  </si>
  <si>
    <t>NT-48</t>
  </si>
  <si>
    <t>ระหว่างรอลองใหม่ ผู้ใช้ยกเลิกการเชื่อม</t>
  </si>
  <si>
    <t>ไม่ส่ง</t>
  </si>
  <si>
    <t>NT-49</t>
  </si>
  <si>
    <t>LINE ล่มไม่ทำให้การแจ้งเตือนในเว็บหรือการสร้างโพสต์ล้มเหลว</t>
  </si>
  <si>
    <t>NT-50</t>
  </si>
  <si>
    <t>lineRepository.pg.test.js</t>
  </si>
  <si>
    <t>lineRepository (PostgreSQL)</t>
  </si>
  <si>
    <t>follow → link → unfollow</t>
  </si>
  <si>
    <t>unlink ด้วย SQL จริง</t>
  </si>
  <si>
    <t>NT-51</t>
  </si>
  <si>
    <t>รหัสที่หมดอายุแล้วใช้ไม่ได้ (ข้อมูลจริงในฐานข้อมูล)</t>
  </si>
  <si>
    <t>NT-52</t>
  </si>
  <si>
    <t>webhook event ซ้ำถูกตรวจพบ</t>
  </si>
  <si>
    <t>NT-53</t>
  </si>
  <si>
    <t>คู่รายการเดิมบันทึกได้ครั้งเดียว และผูกกับการส่ง LINE ได้</t>
  </si>
  <si>
    <t>NT-54</t>
  </si>
  <si>
    <t>retry: จองงานที่ถึงเวลา (SKIP LOCKED)</t>
  </si>
  <si>
    <t>sent</t>
  </si>
  <si>
    <t>NT-55</t>
  </si>
  <si>
    <t>ลบผู้ใช้/รายการ ไม่ทำให้ข้อมูลค้างผิดรูป (foreign keys)</t>
  </si>
  <si>
    <t>NT-56</t>
  </si>
  <si>
    <t>lineRichMenu.test.js</t>
  </si>
  <si>
    <t>โครง Rich Menu</t>
  </si>
  <si>
    <t>6 ช่อง 2 แถว × 3 คอลัมน์ ครอบเต็มภาพ 2500×1686 ไม่ซ้อนกัน และเปิด URL จาก APP_BASE_URL</t>
  </si>
  <si>
    <t>NT-57</t>
  </si>
  <si>
    <t>ไม่มี APP_BASE_URL หรือ URL ไม่ถูกต้อง</t>
  </si>
  <si>
    <t>แจ้งข้อผิดพลาด ไม่เดา URL</t>
  </si>
  <si>
    <t>NT-58</t>
  </si>
  <si>
    <t>path ในเมนูมีอยู่จริงใน frontend/src/App.jsx</t>
  </si>
  <si>
    <t>NT-59</t>
  </si>
  <si>
    <t>ภาพเมนูที่เตรียมไว้ถูกขนาดและไม่เกิน 1 MB / ภาพผิดขนาดถูกปฏิเสธ</t>
  </si>
  <si>
    <t>NT-60</t>
  </si>
  <si>
    <t>deployRichMenu</t>
  </si>
  <si>
    <t>ครั้งแรก: สร้างเมนู อัปโหลดภาพ และตั้งเป็นเมนูเริ่มต้น</t>
  </si>
  <si>
    <t>NT-61</t>
  </si>
  <si>
    <t>รันซ้ำโดยไม่มีการเปลี่ยนแปลง: ไม่สร้างเมนูซ้ำ ไม่อัปโหลดซ้ำ</t>
  </si>
  <si>
    <t>NT-62</t>
  </si>
  <si>
    <t>เมนูเดิมที่ภาพยังไม่ถูกอัปโหลด (รอบก่อนล้มเหลว)</t>
  </si>
  <si>
    <t>อัปโหลดภาพให้</t>
  </si>
  <si>
    <t>NT-63</t>
  </si>
  <si>
    <t>อัปเดต URL: สร้างเวอร์ชันใหม่ ตั้งเป็นค่าเริ่มต้น และลบเฉพาะเวอร์ชันเก่าของระบบนี้</t>
  </si>
  <si>
    <t>NT-64</t>
  </si>
  <si>
    <t>อัปโหลดภาพไม่สำเร็จ</t>
  </si>
  <si>
    <t>ลบเมนูที่เพิ่งสร้าง ไม่ทิ้ง resource ค้าง</t>
  </si>
  <si>
    <t>NT-65</t>
  </si>
  <si>
    <t>lineWebhook.test.js</t>
  </si>
  <si>
    <t>X-Line-Signature</t>
  </si>
  <si>
    <t>ลายเซ็นที่ถูกต้องผ่านการตรวจ</t>
  </si>
  <si>
    <t>NT-66</t>
  </si>
  <si>
    <t>ลายเซ็นผิด / secret ผิด / body ถูกแก้ / ไม่มีลายเซ็น ไม่ผ่าน</t>
  </si>
  <si>
    <t>NT-67</t>
  </si>
  <si>
    <t>POST /api/line/webhook</t>
  </si>
  <si>
    <t>ลายเซ็นไม่ถูกต้อง</t>
  </si>
  <si>
    <t>401 และไม่ประมวลผล event</t>
  </si>
  <si>
    <t>NT-68</t>
  </si>
  <si>
    <t>ไม่มี header ลายเซ็น</t>
  </si>
  <si>
    <t>NT-69</t>
  </si>
  <si>
    <t>ยังไม่ได้ตั้ง LINE_CHANNEL_SECRET</t>
  </si>
  <si>
    <t>503 (ไม่รับ webhook ที่ตรวจสอบไม่ได้)</t>
  </si>
  <si>
    <t>NT-70</t>
  </si>
  <si>
    <t>ปุ่ม Verify ของ LINE (events ว่าง)</t>
  </si>
  <si>
    <t>NT-71</t>
  </si>
  <si>
    <t>follow: ตอบ 200 ก่อน แล้วบันทึกบัญชีและส่งข้อความต้อนรับพร้อมปุ่มเชื่อมบัญชี</t>
  </si>
  <si>
    <t>NT-72</t>
  </si>
  <si>
    <t>follow ของผู้ที่เชื่อมบัญชีแล้ว</t>
  </si>
  <si>
    <t>ข้อความต้อนรับกลับ ไม่ออกรหัสใหม่</t>
  </si>
  <si>
    <t>NT-73</t>
  </si>
  <si>
    <t>unfollow: ปิดสถานะการเป็นเพื่อน คงการเชื่อมบัญชีไว้ และยกเลิกรหัสที่ยังไม่ได้ใช้</t>
  </si>
  <si>
    <t>NT-74</t>
  </si>
  <si>
    <t>event ที่ LINE ส่งซ้ำ (webhookEventId เดิม) ประมวลผลครั้งเดียว</t>
  </si>
  <si>
    <t>NT-75</t>
  </si>
  <si>
    <t>พิมพ์ "เชื่อมบัญชี" → ได้ลิงก์ใหม่ / "ยกเลิกการเชื่อม"</t>
  </si>
  <si>
    <t>ยกเลิกการเชื่อม</t>
  </si>
  <si>
    <t>NT-76</t>
  </si>
  <si>
    <t>ข้อความอื่นได้คำแนะนำการใช้งาน และ event จากกลุ่มถูกข้าม</t>
  </si>
  <si>
    <t>NT-77</t>
  </si>
  <si>
    <t>ตอบกลับไม่สำเร็จ (reply token หมดอายุ) ไม่ทำให้การบันทึกล้มเหลว</t>
  </si>
  <si>
    <t>Frontend หน้าเว็บและคอมโพเนนต์ — Vitest + React Testing Library</t>
  </si>
  <si>
    <t>ไฟล์เทส: testcase/frontend/tests · คำสั่ง: npm --prefix testcase/frontend test · รันเมื่อ 27 ตุลาคม 2569 (ผลจากไฟล์ใน testcase/results)</t>
  </si>
  <si>
    <t>FE-API-01</t>
  </si>
  <si>
    <t>adminApi.test.js</t>
  </si>
  <si>
    <t>adminApi</t>
  </si>
  <si>
    <t>baseURL ชี้ไปที่ backend http://localhost:3000</t>
  </si>
  <si>
    <t>FE-API-02</t>
  </si>
  <si>
    <t>มี adminToken</t>
  </si>
  <si>
    <t>แนบ Authorization: Bearer &lt;token&gt;</t>
  </si>
  <si>
    <t>FE-API-03</t>
  </si>
  <si>
    <t>ไม่แนบ Authorization</t>
  </si>
  <si>
    <t>FE-API-04</t>
  </si>
  <si>
    <t>ได้ 401</t>
  </si>
  <si>
    <t>ลบ token/email และพาไป /admin/login</t>
  </si>
  <si>
    <t>FE-API-05</t>
  </si>
  <si>
    <t>ได้ 401 ขณะอยู่หน้า login อยู่แล้ว</t>
  </si>
  <si>
    <t>ไม่ redirect ซ้ำ</t>
  </si>
  <si>
    <t>FE-API-06</t>
  </si>
  <si>
    <t>error อื่น (500)</t>
  </si>
  <si>
    <t>ไม่ลบ token</t>
  </si>
  <si>
    <t>FE-AD-01</t>
  </si>
  <si>
    <t>adminPages.test.jsx</t>
  </si>
  <si>
    <t>Dashboard</t>
  </si>
  <si>
    <t>แสดงสถิติภาพรวม 8 ช่องจาก /admin/dashboard/stats</t>
  </si>
  <si>
    <t>FE-AD-10</t>
  </si>
  <si>
    <t>การ์ดตัวเลขหลัก: โพสต์ทั้งหมด, ผู้ใช้ใหม่เทียบวันก่อน, รายงานค้าง</t>
  </si>
  <si>
    <t>FE-AD-11</t>
  </si>
  <si>
    <t>เปลี่ยนช่วงกราฟเป็น 7 วัน</t>
  </si>
  <si>
    <t>เรียก trend ด้วย range=7d</t>
  </si>
  <si>
    <t>FE-AD-02</t>
  </si>
  <si>
    <t>กดช่อง 'จำนวนผู้ใช้งานทั้งหมด'</t>
  </si>
  <si>
    <t>ไป /admin/users</t>
  </si>
  <si>
    <t>กดช่อง 'แจ้งของหาย'</t>
  </si>
  <si>
    <t>ไป /admin/lost-items</t>
  </si>
  <si>
    <t>กดช่อง 'พบของแล้ว'</t>
  </si>
  <si>
    <t>ไป /admin/found-items</t>
  </si>
  <si>
    <t>กดช่อง 'รายงานที่รอดำเนินการ'</t>
  </si>
  <si>
    <t>ไป /admin/reports</t>
  </si>
  <si>
    <t>FE-AD-03</t>
  </si>
  <si>
    <t>โหลดไม่สำเร็จ</t>
  </si>
  <si>
    <t>แสดงข้อความ error</t>
  </si>
  <si>
    <t>FE-AD-04</t>
  </si>
  <si>
    <t>Users</t>
  </si>
  <si>
    <t>แสดงรายชื่อ, จำนวนทั้งหมด และสถานะ ใช้งานปกติ / ถูกแบน / ถูกระงับ</t>
  </si>
  <si>
    <t>FE-AD-05</t>
  </si>
  <si>
    <t>พิมพ์ค้นหา</t>
  </si>
  <si>
    <t>เรียก API พร้อมพารามิเตอร์ q</t>
  </si>
  <si>
    <t>FE-AD-06</t>
  </si>
  <si>
    <t>แถว สมชาย กดปุ่ม ออกคำเตือน</t>
  </si>
  <si>
    <t>POST action ที่ถูกต้อง</t>
  </si>
  <si>
    <t>แถว สมชาย กดปุ่ม แบนถาวร</t>
  </si>
  <si>
    <t>แถว สมหญิง กดปุ่ม ยกเลิกการแบน</t>
  </si>
  <si>
    <t>แถว มานะ กดปุ่ม ยกเลิกการระงับ</t>
  </si>
  <si>
    <t>FE-AD-07</t>
  </si>
  <si>
    <t>ระงับบัญชี 7 วันผ่านหน้าต่างยืนยัน (ตัวเลือกวันมาจากค่าระบบ)</t>
  </si>
  <si>
    <t>FE-AD-12</t>
  </si>
  <si>
    <t>ตัวเลือกวันระงับตามค่าระบบที่แอดมินตั้ง (เช่น 1/14 วัน)</t>
  </si>
  <si>
    <t>FE-AD-08</t>
  </si>
  <si>
    <t>ดำเนินการไม่สำเร็จ</t>
  </si>
  <si>
    <t>alert ข้อความจาก server</t>
  </si>
  <si>
    <t>FE-AD-09</t>
  </si>
  <si>
    <t>ไม่มีผู้ใช้</t>
  </si>
  <si>
    <t>แสดง 'ไม่พบผู้ใช้'</t>
  </si>
  <si>
    <t>FE-LG-01</t>
  </si>
  <si>
    <t>auth.test.jsx</t>
  </si>
  <si>
    <t>Login (OTP)</t>
  </si>
  <si>
    <t>หน้าแรกแสดงโลโก้ ช่องอีเมล และปุ่มลงชื่อเข้าใช้ ตามดีไซน์</t>
  </si>
  <si>
    <t>FE-LG-02</t>
  </si>
  <si>
    <t>ส่ง OTP สำเร็จ</t>
  </si>
  <si>
    <t>เรียก /api/send-otp แล้วเปลี่ยนเป็นขั้นตอนกรอก OTP</t>
  </si>
  <si>
    <t>FE-LG-03</t>
  </si>
  <si>
    <t>ส่ง OTP ไม่สำเร็จ (เช่น บัญชีถูกระงับ)</t>
  </si>
  <si>
    <t>แสดงข้อความจาก server และอยู่ขั้นตอนอีเมล</t>
  </si>
  <si>
    <t>FE-LG-04</t>
  </si>
  <si>
    <t>เชื่อมต่อ server ไม่ได้</t>
  </si>
  <si>
    <t>'ไม่สามารถส่ง OTP ได้'</t>
  </si>
  <si>
    <t>FE-LG-05</t>
  </si>
  <si>
    <t>ช่อง OTP รับเฉพาะตัวเลข และปุ่มยืนยันกดได้เมื่อครบ 6 หลัก</t>
  </si>
  <si>
    <t>FE-LG-06</t>
  </si>
  <si>
    <t>เก็บสถานะ login และไป /home หลัง 2 วินาที</t>
  </si>
  <si>
    <t>FE-LG-07</t>
  </si>
  <si>
    <t>OTP ผิดหรือหมดอายุ</t>
  </si>
  <si>
    <t>'OTP ไม่ถูกต้องหรือหมดอายุ' และไม่ login</t>
  </si>
  <si>
    <t>FE-LG-08</t>
  </si>
  <si>
    <t>OTP ถูกแต่บัญชีถูกแบน</t>
  </si>
  <si>
    <t>แสดงข้อความจาก server</t>
  </si>
  <si>
    <t>FE-LG-09</t>
  </si>
  <si>
    <t>ปุ่มย้อนกลับในขั้นตอน OTP</t>
  </si>
  <si>
    <t>กลับไปแก้อีเมล (อีเมลเดิมยังอยู่)</t>
  </si>
  <si>
    <t>FE-LG-10</t>
  </si>
  <si>
    <t>'ส่งรหัสอีกครั้ง'</t>
  </si>
  <si>
    <t>เรียก /api/send-otp ซ้ำ</t>
  </si>
  <si>
    <t>FE-LG-11</t>
  </si>
  <si>
    <t>ยังไม่ได้ตั้งค่า Google Sign-In</t>
  </si>
  <si>
    <t>ไม่มีปุ่ม Google</t>
  </si>
  <si>
    <t>FE-LG-12</t>
  </si>
  <si>
    <t>มีข้อความส่งมาจากหน้าก่อน (location.state.message)</t>
  </si>
  <si>
    <t>แสดงบนหน้า</t>
  </si>
  <si>
    <t>FE-LG-13</t>
  </si>
  <si>
    <t>ลิงก์ 'สมัครสมาชิก'</t>
  </si>
  <si>
    <t>ไป /signup</t>
  </si>
  <si>
    <t>FE-LG-14</t>
  </si>
  <si>
    <t>ลิงก์ 'เข้าสู่ระบบแอดมิน'</t>
  </si>
  <si>
    <t>ไป /admin/login</t>
  </si>
  <si>
    <t>FE-SU-01</t>
  </si>
  <si>
    <t>SignUp</t>
  </si>
  <si>
    <t>สมัครสำเร็จ</t>
  </si>
  <si>
    <t>ไป /login พร้อมข้อความสำเร็จ</t>
  </si>
  <si>
    <t>FE-SU-02</t>
  </si>
  <si>
    <t>อีเมลซ้ำ</t>
  </si>
  <si>
    <t>แสดงข้อความจาก server และอยู่หน้าเดิม</t>
  </si>
  <si>
    <t>FE-SU-03</t>
  </si>
  <si>
    <t>ช่องที่ต้องกรอกว่าง</t>
  </si>
  <si>
    <t>form ไม่ถูกส่ง (HTML required)</t>
  </si>
  <si>
    <t>FE-SU-04</t>
  </si>
  <si>
    <t>ลิงก์ 'เข้าสู่ระบบ'</t>
  </si>
  <si>
    <t>ไป /login</t>
  </si>
  <si>
    <t>FE-AL-01</t>
  </si>
  <si>
    <t>AdminLogin</t>
  </si>
  <si>
    <t>login สำเร็จ</t>
  </si>
  <si>
    <t>เก็บ adminToken/adminEmail และไป /admin/dashboard</t>
  </si>
  <si>
    <t>FE-AL-02</t>
  </si>
  <si>
    <t>FE-AL-03</t>
  </si>
  <si>
    <t>ลิงก์ 'กลับสู่หน้าหลัก'</t>
  </si>
  <si>
    <t>FE-AL-04</t>
  </si>
  <si>
    <t>แสดงโลโก้ หัวข้อ 'KU Lost &amp; Found' และช่อง Username/Password ที่จำเป็นต้องกรอก</t>
  </si>
  <si>
    <t>FE-AL-05</t>
  </si>
  <si>
    <t>ปุ่มรูปตา</t>
  </si>
  <si>
    <t>สลับแสดง/ซ่อนรหัสผ่าน</t>
  </si>
  <si>
    <t>FE-AL-06</t>
  </si>
  <si>
    <t>ระหว่างส่ง</t>
  </si>
  <si>
    <t>ปุ่มแสดง 'กำลังเข้าสู่ระบบ...' และกดซ้ำไม่ได้</t>
  </si>
  <si>
    <t>FE-LD-01</t>
  </si>
  <si>
    <t>Loading</t>
  </si>
  <si>
    <t>แสดงโลโก้ และพาไป /login อัตโนมัติหลัง 5 วินาที</t>
  </si>
  <si>
    <t>FE-CP-01</t>
  </si>
  <si>
    <t>components.test.jsx</t>
  </si>
  <si>
    <t>SuspendModal</t>
  </si>
  <si>
    <t>แสดงชื่อผู้ใช้ และค่าเริ่มต้นคือระงับ 3 วัน</t>
  </si>
  <si>
    <t>FE-CP-02</t>
  </si>
  <si>
    <t>เลือก 7 วัน</t>
  </si>
  <si>
    <t>onConfirm({"action":"suspend","duration_days":7})</t>
  </si>
  <si>
    <t>เลือก 30 วัน</t>
  </si>
  <si>
    <t>onConfirm({"action":"suspend","duration_days":30})</t>
  </si>
  <si>
    <t>เลือก ถาวร (แบน)</t>
  </si>
  <si>
    <t>onConfirm({"action":"ban"})</t>
  </si>
  <si>
    <t>FE-CP-03</t>
  </si>
  <si>
    <t>กดยกเลิก</t>
  </si>
  <si>
    <t>onCancel และไม่ยืนยัน</t>
  </si>
  <si>
    <t>FE-CP-04</t>
  </si>
  <si>
    <t>ระหว่างส่ง (submitting)</t>
  </si>
  <si>
    <t>ปุ่มยืนยันถูกปิด</t>
  </si>
  <si>
    <t>FE-CP-12</t>
  </si>
  <si>
    <t>โหลดค่าระบบไม่ได้</t>
  </si>
  <si>
    <t>ใช้ตัวเลือกเริ่มต้น 3/7/30 วัน</t>
  </si>
  <si>
    <t>FE-CP-05</t>
  </si>
  <si>
    <t>StatTile</t>
  </si>
  <si>
    <t>มี onClick</t>
  </si>
  <si>
    <t>เป็นปุ่มที่กดได้</t>
  </si>
  <si>
    <t>FE-CP-06</t>
  </si>
  <si>
    <t>ไม่มี onClick</t>
  </si>
  <si>
    <t>ไม่ใช่ปุ่ม</t>
  </si>
  <si>
    <t>FE-CP-13</t>
  </si>
  <si>
    <t>wrapLabel</t>
  </si>
  <si>
    <t>ป้ายขึ้นได้ 2 บรรทัด (การ์ดแคบบนมือถือ)</t>
  </si>
  <si>
    <t>FE-CP-07</t>
  </si>
  <si>
    <t>BottomNav (มือถือ)</t>
  </si>
  <si>
    <t>แท็บ หน้าหลัก / ค้นหา / แจ้งเตือน / ตั้งค่า ลิงก์ถูกต้อง และไฮไลต์หน้าปัจจุบัน</t>
  </si>
  <si>
    <t>FE-CP-14</t>
  </si>
  <si>
    <t>หน้าโปรไฟล์/โพสต์ของฉันอยู่ใต้แท็บ 'ตั้งค่า'</t>
  </si>
  <si>
    <t>FE-CP-15</t>
  </si>
  <si>
    <t>แสดงจำนวนแจ้งเตือนที่ยังไม่อ่านจาก /api/inbox</t>
  </si>
  <si>
    <t>FE-CP-16</t>
  </si>
  <si>
    <t>ปุ่ม + กลาง</t>
  </si>
  <si>
    <t>เรียก onReport</t>
  </si>
  <si>
    <t>FE-CP-17</t>
  </si>
  <si>
    <t>สถานะโพสต์ (itemStatus)</t>
  </si>
  <si>
    <t>{"status":"returned","type":"lost"}</t>
  </si>
  <si>
    <t>returned</t>
  </si>
  <si>
    <t>{"status":"open","type":"lost","pending_claims":2}</t>
  </si>
  <si>
    <t>contacted</t>
  </si>
  <si>
    <t>{"status":"open","type":"found"}</t>
  </si>
  <si>
    <t>waiting</t>
  </si>
  <si>
    <t>{"status":"open","type":"lost"}</t>
  </si>
  <si>
    <t>searching</t>
  </si>
  <si>
    <t>FE-CP-18</t>
  </si>
  <si>
    <t>ประกาศ (AnnouncementCard / announcementTypes)</t>
  </si>
  <si>
    <t>ประเภท info</t>
  </si>
  <si>
    <t>หัวข้อ 'ประกาศ'</t>
  </si>
  <si>
    <t>ประเภท important</t>
  </si>
  <si>
    <t>หัวข้อ 'ประกาศสำคัญ'</t>
  </si>
  <si>
    <t>ประเภท maintenance</t>
  </si>
  <si>
    <t>หัวข้อ 'แจ้งปิดปรับปรุงระบบ'</t>
  </si>
  <si>
    <t>ประเภท warning</t>
  </si>
  <si>
    <t>หัวข้อ 'โปรดทราบ'</t>
  </si>
  <si>
    <t>ประเภท success</t>
  </si>
  <si>
    <t>หัวข้อ 'ข่าวดี'</t>
  </si>
  <si>
    <t>ประเภท unknown-tone</t>
  </si>
  <si>
    <t>FE-CP-19</t>
  </si>
  <si>
    <t>ช่วงวันที่ {"starts_on":"2026-10-14","ends_on":"2026-10-14"}</t>
  </si>
  <si>
    <t>เฉพาะวันที่ 14 ต.ค. 2569 (ปี พ.ศ.)</t>
  </si>
  <si>
    <t>ช่วงวันที่ {"starts_on":"2026-10-01","ends_on":"2026-10-31"}</t>
  </si>
  <si>
    <t>1 ต.ค. 2569 – 31 ต.ค. 2569 (ปี พ.ศ.)</t>
  </si>
  <si>
    <t>ช่วงวันที่ {"ends_on":"2026-12-31"}</t>
  </si>
  <si>
    <t>ถึง 31 ธ.ค. 2569 (ปี พ.ศ.)</t>
  </si>
  <si>
    <t>ช่วงวันที่ {"starts_on":"2026-01-05"}</t>
  </si>
  <si>
    <t>ตั้งแต่ 5 ม.ค. 2569 (ปี พ.ศ.)</t>
  </si>
  <si>
    <t>ช่วงวันที่ {}</t>
  </si>
  <si>
    <t>null (ปี พ.ศ.)</t>
  </si>
  <si>
    <t>FE-CP-20</t>
  </si>
  <si>
    <t>การ์ดประกาศแสดงหัวข้อ ข้อความ ช่วงวันที่ และปุ่มปิด</t>
  </si>
  <si>
    <t>FE-CP-21</t>
  </si>
  <si>
    <t>การแสดงผล (displayPrefs)</t>
  </si>
  <si>
    <t>เลือกโหมดมืด + ตัวอักษรใหญ่</t>
  </si>
  <si>
    <t>ตั้ง data-theme/font-size ที่ &lt;html&gt; และจำไว้ในเครื่อง</t>
  </si>
  <si>
    <t>FE-CP-09</t>
  </si>
  <si>
    <t>ข้อมูลคงที่</t>
  </si>
  <si>
    <t>campusLocations: มีชื่อ และพิกัดอยู่ในพื้นที่ ม.เกษตร กำแพงแสน</t>
  </si>
  <si>
    <t>FE-CP-10</t>
  </si>
  <si>
    <t>campusLocations: ชื่อสถานที่ไม่ซ้ำกัน (ใช้เป็น React key)</t>
  </si>
  <si>
    <t>FE-CP-11</t>
  </si>
  <si>
    <t>หมวดหมู่เริ่มต้นมี 'อื่น ๆ' และหมวดใหม่จากแอดมินได้ไอคอนทั่วไป</t>
  </si>
  <si>
    <t>FE-GG-01</t>
  </si>
  <si>
    <t>googleSignIn.test.jsx</t>
  </si>
  <si>
    <t>GoogleSignInButton ในหน้าเข้าสู่ระบบ</t>
  </si>
  <si>
    <t>ไม่แสดงปุ่ม Google และคำว่า 'หรือ'</t>
  </si>
  <si>
    <t>FE-GG-02</t>
  </si>
  <si>
    <t>สร้างปุ่มด้วย Client ID จากค่าระบบ แบบ popup ภาษาไทย</t>
  </si>
  <si>
    <t>FE-GG-03</t>
  </si>
  <si>
    <t>ยืนยัน Google สำเร็จ</t>
  </si>
  <si>
    <t>ส่ง credential ไป backend แล้วเปลี่ยนเป็นขั้นตอนกรอก OTP (ยังไม่เข้าสู่ระบบ)</t>
  </si>
  <si>
    <t>FE-GG-04</t>
  </si>
  <si>
    <t>ขั้นที่ 2 กรอก OTP ถูก</t>
  </si>
  <si>
    <t>verify-otp ด้วยอีเมล Google, บันทึก session และไปหน้าหลัก</t>
  </si>
  <si>
    <t>FE-GG-05</t>
  </si>
  <si>
    <t>ขอรหัสซ้ำเร็วเกินไป (retry_after)</t>
  </si>
  <si>
    <t>แจ้งให้ใช้รหัสล่าสุดในอีเมล</t>
  </si>
  <si>
    <t>FE-GG-06</t>
  </si>
  <si>
    <t>backend ปฏิเสธ (เช่น บัญชีถูกแบน)</t>
  </si>
  <si>
    <t>แสดงข้อความ และอยู่ขั้นตอนอีเมล</t>
  </si>
  <si>
    <t>FE-GG-07</t>
  </si>
  <si>
    <t>เปิดหน้าเข้าสู่ระบบพร้อม otpEmail (มาจากหน้าสมัคร)</t>
  </si>
  <si>
    <t>เริ่มที่ขั้นตอนกรอก OTP</t>
  </si>
  <si>
    <t>FE-GG-08</t>
  </si>
  <si>
    <t>GoogleSignInButton ในหน้าสมัครสมาชิก</t>
  </si>
  <si>
    <t>สมัครด้วย Google (created=true)</t>
  </si>
  <si>
    <t>ไปหน้าเข้าสู่ระบบขั้นตอน OTP พร้อมข้อความ</t>
  </si>
  <si>
    <t>สมัครด้วย Google (created=false)</t>
  </si>
  <si>
    <t>FE-HM-01</t>
  </si>
  <si>
    <t>home.test.jsx</t>
  </si>
  <si>
    <t>Home</t>
  </si>
  <si>
    <t>แสดงหัวข้อ ช่องค้นหา คำทักทายจากโปรไฟล์ และเมนูหลัก</t>
  </si>
  <si>
    <t>FE-HM-02</t>
  </si>
  <si>
    <t>โหลดโปรไฟล์ไม่ได้</t>
  </si>
  <si>
    <t>ทักทายด้วยชื่อจากอีเมล</t>
  </si>
  <si>
    <t>FE-HM-03</t>
  </si>
  <si>
    <t>รวมของพบและของหาย เรียงจากใหม่ไปเก่า การ์ดมีป้าย เวลา หมวด สถานที่ และรูป</t>
  </si>
  <si>
    <t>FE-HM-04</t>
  </si>
  <si>
    <t>แท็บประเภท: ของหาย / ของที่พบ พร้อมจำนวน</t>
  </si>
  <si>
    <t>FE-HM-05</t>
  </si>
  <si>
    <t>ค้นหาด่วน 'กระเป๋า'</t>
  </si>
  <si>
    <t>กรองตามหมวด/ชื่อ</t>
  </si>
  <si>
    <t>ค้นหาด่วน 'Key'</t>
  </si>
  <si>
    <t>ค้นหาด่วน 'อิเล็กทรอนิกส์'</t>
  </si>
  <si>
    <t>ค้นหาด่วน 'เอกสาร'</t>
  </si>
  <si>
    <t>ค้นหาด่วน 'อื่นๆ'</t>
  </si>
  <si>
    <t>FE-HM-06</t>
  </si>
  <si>
    <t>กรองตามชื่อ/สถานที่ ไม่พบแสดงข้อความ</t>
  </si>
  <si>
    <t>FE-HM-07</t>
  </si>
  <si>
    <t>เกิน 8 รายการ</t>
  </si>
  <si>
    <t>แบ่งหน้า กดถัดไป/เลขหน้าได้ และปุ่มก่อนหน้าปิดในหน้าแรก</t>
  </si>
  <si>
    <t>FE-HM-08</t>
  </si>
  <si>
    <t>เปลี่ยนตัวกรองขณะอยู่หน้า 2</t>
  </si>
  <si>
    <t>กลับไปหน้า 1</t>
  </si>
  <si>
    <t>FE-HM-09</t>
  </si>
  <si>
    <t>ไม่เกิน 8 รายการ</t>
  </si>
  <si>
    <t>ไม่แสดงเลขหน้า</t>
  </si>
  <si>
    <t>FE-HM-10</t>
  </si>
  <si>
    <t>กดการ์ดของคนอื่น</t>
  </si>
  <si>
    <t>ป๊อปอัพรายละเอียด มีปุ่ม 'นี่ของฉัน' และ 'รายงานโพสต์นี้'</t>
  </si>
  <si>
    <t>FE-HM-15</t>
  </si>
  <si>
    <t>กดการ์ดโพสต์ของตัวเอง</t>
  </si>
  <si>
    <t>แสดงลิงก์จัดการโพสต์ ไม่มีปุ่มรายงาน</t>
  </si>
  <si>
    <t>FE-HM-16</t>
  </si>
  <si>
    <t>ติดต่อเจ้าของ ('นี่ของฉัน')</t>
  </si>
  <si>
    <t>POST /api/claims แล้วแสดงช่องทางติดต่อ</t>
  </si>
  <si>
    <t>FE-HM-11</t>
  </si>
  <si>
    <t>ปุ่มแจ้งสิ่งของ</t>
  </si>
  <si>
    <t>ป๊อปอัพ มีการ์ดของหาย / ของที่พบ ไปหน้าฟอร์มที่ถูกต้อง</t>
  </si>
  <si>
    <t>FE-HM-14</t>
  </si>
  <si>
    <t>ปิดป๊อปอัพแจ้งสิ่งของด้วยปุ่ม X</t>
  </si>
  <si>
    <t>อยู่หน้าหลักเหมือนเดิม</t>
  </si>
  <si>
    <t>ปิดป๊อปอัพแจ้งสิ่งของด้วยกด Esc</t>
  </si>
  <si>
    <t>ปิดป๊อปอัพแจ้งสิ่งของด้วยคลิกพื้นหลัง</t>
  </si>
  <si>
    <t>FE-HM-12</t>
  </si>
  <si>
    <t>API ล้มเหลว</t>
  </si>
  <si>
    <t>แสดง 'ยังไม่มีรายการ' หน้าไม่พัง</t>
  </si>
  <si>
    <t>FE-HM-13</t>
  </si>
  <si>
    <t>ออกจากระบบ</t>
  </si>
  <si>
    <t>ถามยืนยันก่อน, ยืนยันแล้วล้าง session และไป /login</t>
  </si>
  <si>
    <t>FE-IP-01</t>
  </si>
  <si>
    <t>itemPages.test.jsx</t>
  </si>
  <si>
    <t>FoundPage</t>
  </si>
  <si>
    <t>โหลดรายการจาก API และแสดงจำนวน</t>
  </si>
  <si>
    <t>FE-IP-02</t>
  </si>
  <si>
    <t>ค้นหาด้วยชื่อสิ่งของ</t>
  </si>
  <si>
    <t>FE-IP-03</t>
  </si>
  <si>
    <t>กรองหมวดหมู่ 'อื่นๆ'</t>
  </si>
  <si>
    <t>รวมหมวดที่ไม่อยู่ในรายการหลัก</t>
  </si>
  <si>
    <t>FE-IP-04</t>
  </si>
  <si>
    <t>โพสต์ของตัวเอง</t>
  </si>
  <si>
    <t>ป๊อปอัพไม่มีปุ่ม 'รายงานโพสต์นี้'</t>
  </si>
  <si>
    <t>FE-IP-05</t>
  </si>
  <si>
    <t>กด 'รายงานโพสต์นี้'</t>
  </si>
  <si>
    <t>ไปหน้า /report พร้อมข้อมูลรายการ</t>
  </si>
  <si>
    <t>FE-IP-06</t>
  </si>
  <si>
    <t>รายการที่คืนของแล้ว</t>
  </si>
  <si>
    <t>การ์ดมีป้าย 'คืนของสำเร็จ' และป๊อปอัพแจ้งว่าปิดโพสต์แล้ว</t>
  </si>
  <si>
    <t>FE-IP-07</t>
  </si>
  <si>
    <t>0 รายการ และหน้าไม่พัง</t>
  </si>
  <si>
    <t>LostPage</t>
  </si>
  <si>
    <t>FE-LO-01</t>
  </si>
  <si>
    <t>logout.test.jsx</t>
  </si>
  <si>
    <t>ConfirmLogoutModal</t>
  </si>
  <si>
    <t>ปิดอยู่ (open=false)</t>
  </si>
  <si>
    <t>ไม่แสดงอะไร</t>
  </si>
  <si>
    <t>FE-LO-02</t>
  </si>
  <si>
    <t>แสดงคำถามยืนยัน และโฟกัสปุ่ม 'ยกเลิก' ไว้ก่อน (กัน Enter ออกโดยไม่ตั้งใจ)</t>
  </si>
  <si>
    <t>FE-LO-03</t>
  </si>
  <si>
    <t>กด 'ออกจากระบบ'</t>
  </si>
  <si>
    <t>onConfirm</t>
  </si>
  <si>
    <t>FE-LO-04</t>
  </si>
  <si>
    <t>กด 'ยกเลิก'</t>
  </si>
  <si>
    <t>onCancel และไม่ออกจากระบบ</t>
  </si>
  <si>
    <t>กด Esc</t>
  </si>
  <si>
    <t>คลิกพื้นหลังนอกกล่อง</t>
  </si>
  <si>
    <t>FE-LO-05</t>
  </si>
  <si>
    <t>คลิกภายในกล่อง</t>
  </si>
  <si>
    <t>ไม่ปิด</t>
  </si>
  <si>
    <t>FE-LO-06</t>
  </si>
  <si>
    <t>UserLayout (ฝั่งผู้ใช้)</t>
  </si>
  <si>
    <t>กดออกจากระบบแล้วยกเลิก</t>
  </si>
  <si>
    <t>session ยังอยู่ และอยู่หน้าเดิม</t>
  </si>
  <si>
    <t>FE-LO-07</t>
  </si>
  <si>
    <t>ยืนยันออกจากระบบ</t>
  </si>
  <si>
    <t>ล้าง token/อีเมล/รหัสนิสิต และไป /login</t>
  </si>
  <si>
    <t>FE-LO-09</t>
  </si>
  <si>
    <t>AdminLayout</t>
  </si>
  <si>
    <t>แอดมินกดออกจากระบบแล้วยกเลิก</t>
  </si>
  <si>
    <t>token ยังอยู่</t>
  </si>
  <si>
    <t>FE-LO-10</t>
  </si>
  <si>
    <t>แอดมินยืนยันออกจากระบบ</t>
  </si>
  <si>
    <t>ลบ token และไป /admin/login</t>
  </si>
  <si>
    <t>FE-NT-01</t>
  </si>
  <si>
    <t>notifications.test.jsx</t>
  </si>
  <si>
    <t>Notifications</t>
  </si>
  <si>
    <t>แสดงรายการแจ้งเตือนและจำนวนที่ยังไม่อ่าน</t>
  </si>
  <si>
    <t>FE-NT-02</t>
  </si>
  <si>
    <t>แท็บ 'ยังไม่อ่าน'</t>
  </si>
  <si>
    <t>กรองตามประเภท</t>
  </si>
  <si>
    <t>แท็บ 'อาจตรงกัน'</t>
  </si>
  <si>
    <t>แท็บ 'สถานะรายการ'</t>
  </si>
  <si>
    <t>แท็บ 'ระบบ'</t>
  </si>
  <si>
    <t>FE-NT-03</t>
  </si>
  <si>
    <t>กดรายการที่ยังไม่อ่าน</t>
  </si>
  <si>
    <t>ทำเครื่องหมายอ่านแล้ว และเปิดลิงก์</t>
  </si>
  <si>
    <t>FE-NT-04</t>
  </si>
  <si>
    <t>กด 'อ่านทั้งหมด'</t>
  </si>
  <si>
    <t>POST /api/inbox/read-all</t>
  </si>
  <si>
    <t>FE-NT-05</t>
  </si>
  <si>
    <t>ไม่มีการแจ้งเตือน</t>
  </si>
  <si>
    <t>แสดงข้อความว่าง</t>
  </si>
  <si>
    <t>FE-FF-01</t>
  </si>
  <si>
    <t>reportItemForm.test.jsx</t>
  </si>
  <si>
    <t>ReportItemForm type=found</t>
  </si>
  <si>
    <t>แสดงหัวข้อ และช่องที่จำเป็นต้องกรอก</t>
  </si>
  <si>
    <t>FE-FF-02</t>
  </si>
  <si>
    <t>พิมพ์สถานที่</t>
  </si>
  <si>
    <t>แสดงสถานที่ในมหาวิทยาลัยที่ตรงกัน และเลือกได้</t>
  </si>
  <si>
    <t>FE-FF-03</t>
  </si>
  <si>
    <t>POST แบบ multipart พร้อมรูป แล้วแสดงหมายเลขรายการ</t>
  </si>
  <si>
    <t>FE-FF-04</t>
  </si>
  <si>
    <t>แจ้งเตือนและไม่ส่งข้อมูล</t>
  </si>
  <si>
    <t>วันที่ในอนาคต</t>
  </si>
  <si>
    <t>FE-FF-05</t>
  </si>
  <si>
    <t>ไม่แนบรูป</t>
  </si>
  <si>
    <t>แจ้งให้เลือกรูป</t>
  </si>
  <si>
    <t>FE-FF-06</t>
  </si>
  <si>
    <t>ไฟล์ไม่ใช่รูป</t>
  </si>
  <si>
    <t>แจ้งเตือน</t>
  </si>
  <si>
    <t>รูปใหญ่เกิน 5 MB</t>
  </si>
  <si>
    <t>FE-FF-07</t>
  </si>
  <si>
    <t>server ตอบ error</t>
  </si>
  <si>
    <t>FE-FF-08</t>
  </si>
  <si>
    <t>เชื่อมต่อเซิร์ฟเวอร์ไม่ได้ / หมดเวลา</t>
  </si>
  <si>
    <t>ข้อความที่ผู้ใช้เข้าใจ</t>
  </si>
  <si>
    <t>ReportItemForm type=lost</t>
  </si>
  <si>
    <t>FE-RP-01</t>
  </si>
  <si>
    <t>reportPage.test.jsx</t>
  </si>
  <si>
    <t>ReportPage</t>
  </si>
  <si>
    <t>แสดงข้อมูลรายการที่ถูกรายงาน และเหตุผลให้เลือก 7 ข้อ</t>
  </si>
  <si>
    <t>FE-RP-02</t>
  </si>
  <si>
    <t>ไม่เลือกเหตุผล</t>
  </si>
  <si>
    <t>FE-RP-03</t>
  </si>
  <si>
    <t>ส่งรายงานสำเร็จ</t>
  </si>
  <si>
    <t>POST /report (multipart) แล้วไปหน้า /report/success พร้อมเลขรายงาน</t>
  </si>
  <si>
    <t>FE-RP-04</t>
  </si>
  <si>
    <t>server ปฏิเสธ (รายงานโพสต์ตัวเอง)</t>
  </si>
  <si>
    <t>FE-RP-05</t>
  </si>
  <si>
    <t>แนบรูปได้สูงสุด 3 รูป</t>
  </si>
  <si>
    <t>FE-RP-06</t>
  </si>
  <si>
    <t>แนบ 3 รูป</t>
  </si>
  <si>
    <t>ส่งไปเพียงรูปแรก (พฤติกรรมปัจจุบัน)</t>
  </si>
  <si>
    <t>FE-RT-01</t>
  </si>
  <si>
    <t>routes.test.jsx</t>
  </si>
  <si>
    <t>ProtectedRoute</t>
  </si>
  <si>
    <t>ยังไม่ login</t>
  </si>
  <si>
    <t>พาไป /login พร้อมข้อความ และจำหน้าที่จะเปิด</t>
  </si>
  <si>
    <t>FE-RT-02</t>
  </si>
  <si>
    <t>มี token ผู้ใช้ที่ยังไม่หมดอายุ</t>
  </si>
  <si>
    <t>แสดงเนื้อหา</t>
  </si>
  <si>
    <t>FE-RT-03</t>
  </si>
  <si>
    <t>มีแค่ isLoggedIn=true แต่ไม่มี token</t>
  </si>
  <si>
    <t>ถือว่ายังไม่ login</t>
  </si>
  <si>
    <t>FE-RT-06</t>
  </si>
  <si>
    <t>ล้าง session แล้วพาไป /login</t>
  </si>
  <si>
    <t>FE-RT-07</t>
  </si>
  <si>
    <t>token รูปแบบเสีย</t>
  </si>
  <si>
    <t>hasValidUserSession = false</t>
  </si>
  <si>
    <t>FE-RT-04</t>
  </si>
  <si>
    <t>AdminProtectedRoute</t>
  </si>
  <si>
    <t>ไม่มี adminToken</t>
  </si>
  <si>
    <t>ไปหน้า /admin/login</t>
  </si>
  <si>
    <t>FE-RT-05</t>
  </si>
  <si>
    <t>FE-SS-01</t>
  </si>
  <si>
    <t>siteSettings.test.jsx</t>
  </si>
  <si>
    <t>MaintenanceGate</t>
  </si>
  <si>
    <t>ปิดปรับปรุง</t>
  </si>
  <si>
    <t>หน้าผู้ใช้แสดงข้อความจากแอดมินแทนเนื้อหา</t>
  </si>
  <si>
    <t>FE-SS-02</t>
  </si>
  <si>
    <t>หน้าแอดมินยังใช้งานได้</t>
  </si>
  <si>
    <t>FE-SS-03</t>
  </si>
  <si>
    <t>แอดมินเปิดระบบแล้ว (โหลดค่าใหม่)</t>
  </si>
  <si>
    <t>แสดงเนื้อหาตามปกติ</t>
  </si>
  <si>
    <t>FE-SS-04</t>
  </si>
  <si>
    <t>ใช้ค่าล่าสุดที่โหลดได้ (ไม่ปิดเว็บเอง)</t>
  </si>
  <si>
    <t>FE-SS-05</t>
  </si>
  <si>
    <t>AnnouncementBanner</t>
  </si>
  <si>
    <t>มีประกาศ</t>
  </si>
  <si>
    <t>แสดงหัวข้อตามประเภทและข้อความ</t>
  </si>
  <si>
    <t>FE-SS-06</t>
  </si>
  <si>
    <t>กดปิดประกาศ</t>
  </si>
  <si>
    <t>ซ่อน และจำไว้ (ข้อความเดิมไม่แสดงซ้ำ)</t>
  </si>
  <si>
    <t>FE-SS-07</t>
  </si>
  <si>
    <t>ข้อความประกาศเปลี่ยน</t>
  </si>
  <si>
    <t>แสดงอีกครั้งแม้เคยปิดประกาศเก่า</t>
  </si>
  <si>
    <t>FE-SS-08</t>
  </si>
  <si>
    <t>ไม่มีประกาศ</t>
  </si>
  <si>
    <t>กรณีทดสอบด้วยมือ (Manual / End-to-End) — สำหรับบันทึกผล</t>
  </si>
  <si>
    <t>วิธีกรอก: ช่องสีเหลือง (ผลที่ได้จริง, สถานะ, ผู้ทดสอบ, วันที่ทดสอบ) คือช่องที่ผู้ทดสอบกรอก · สถานะเลือกจากรายการ ผ่าน / ไม่ผ่าน / ยังไม่ทดสอบ · ตัวอย่าง: ผลที่ได้จริง "ได้อีเมล OTP ภายใน 20 วินาที" สถานะ "ผ่าน" วันที่ 2026-10-26</t>
  </si>
  <si>
    <t>หมวด</t>
  </si>
  <si>
    <t>ความสำคัญ</t>
  </si>
  <si>
    <t>เงื่อนไขก่อนทดสอบ</t>
  </si>
  <si>
    <t>ขั้นตอนการทดสอบ</t>
  </si>
  <si>
    <t>ผลที่ได้จริง</t>
  </si>
  <si>
    <t>ผู้ทดสอบ</t>
  </si>
  <si>
    <t>วันที่ทดสอบ</t>
  </si>
  <si>
    <t>M-01</t>
  </si>
  <si>
    <t>ผู้ใช้: บัญชี</t>
  </si>
  <si>
    <t>เปิด /signup กรอกชื่อ นามสกุล อีเมล แล้วกดสมัคร</t>
  </si>
  <si>
    <t>กลับหน้าเข้าสู่ระบบพร้อมข้อความสมัครสำเร็จ</t>
  </si>
  <si>
    <t>M-02</t>
  </si>
  <si>
    <t>มีบัญชีอีเมลนี้แล้ว</t>
  </si>
  <si>
    <t>สมัครด้วยอีเมลเดิมอีกครั้ง</t>
  </si>
  <si>
    <t>แจ้ง "รหัสนิสิตหรืออีเมลนี้มีอยู่ในระบบแล้ว"</t>
  </si>
  <si>
    <t>M-31</t>
  </si>
  <si>
    <t>ผู้ใช้: Google</t>
  </si>
  <si>
    <t>ตั้ง GOOGLE_CLIENT_ID และเพิ่มที่อยู่เว็บใน Authorized JavaScript origins แล้ว</t>
  </si>
  <si>
    <t>หน้าเข้าสู่ระบบ → ลงชื่อเข้าใช้ด้วย Google → เลือกบัญชี → กรอก OTP จากอีเมล</t>
  </si>
  <si>
    <t>หลังเลือกบัญชีจะยังไม่เข้าระบบ ต้องกรอก OTP ที่ส่งไปอีเมล Google ก่อน จึงเข้าหน้าหลักได้</t>
  </si>
  <si>
    <t>M-32</t>
  </si>
  <si>
    <t>อีเมล Google ที่ยังไม่มีบัญชีในระบบ</t>
  </si>
  <si>
    <t>หน้าสมัคร → สมัครด้วย Google → กรอก OTP</t>
  </si>
  <si>
    <t>สร้างบัญชีจากชื่อ Google, ขึ้นข้อความสมัครสำเร็จ และเข้าระบบได้หลังกรอก OTP</t>
  </si>
  <si>
    <t>M-33</t>
  </si>
  <si>
    <t>เปิดเว็บจากที่อยู่ที่ไม่ได้เพิ่มใน Google Cloud</t>
  </si>
  <si>
    <t>กดปุ่ม Google</t>
  </si>
  <si>
    <t>Google แจ้ง origin_mismatch (ต้องเพิ่มที่อยู่ใน Authorized JavaScript origins)</t>
  </si>
  <si>
    <t>M-03</t>
  </si>
  <si>
    <t>ผู้ใช้: เข้าสู่ระบบ</t>
  </si>
  <si>
    <t>ตั้ง MAIL_USER / MAIL_APP_PASSWORD ที่ใช้ได้</t>
  </si>
  <si>
    <t>หน้าเข้าสู่ระบบ ใส่อีเมล กดลงชื่อเข้าใช้</t>
  </si>
  <si>
    <t>ได้อีเมลรหัส OTP 6 หลักภายใน 1 นาที</t>
  </si>
  <si>
    <t>M-04</t>
  </si>
  <si>
    <t>ได้รับ OTP แล้ว</t>
  </si>
  <si>
    <t>กรอก OTP แล้วกดยืนยัน</t>
  </si>
  <si>
    <t>เข้าสู่หน้าหลัก แสดงชื่อผู้ใช้มุมขวาบน</t>
  </si>
  <si>
    <t>M-05</t>
  </si>
  <si>
    <t>กรอก OTP ผิด 5 ครั้ง</t>
  </si>
  <si>
    <t>ครั้งที่ 5 แจ้งให้ขอรหัสใหม่ รหัสเดิมใช้ไม่ได้อีก</t>
  </si>
  <si>
    <t>M-06</t>
  </si>
  <si>
    <t>รอเกิน 5 นาทีแล้วกรอก OTP</t>
  </si>
  <si>
    <t>แจ้งว่า OTP ไม่ถูกต้องหรือหมดอายุ</t>
  </si>
  <si>
    <t>M-07</t>
  </si>
  <si>
    <t>ยังไม่ได้เข้าสู่ระบบ</t>
  </si>
  <si>
    <t>เปิด /my-posts โดยตรง แล้วเข้าสู่ระบบ</t>
  </si>
  <si>
    <t>ถูกพาไปหน้าเข้าสู่ระบบ และกลับมาที่ /my-posts หลังเข้าสู่ระบบ</t>
  </si>
  <si>
    <t>M-08</t>
  </si>
  <si>
    <t>ผู้ใช้: แจ้งของ</t>
  </si>
  <si>
    <t>เข้าสู่ระบบบนมือถือ</t>
  </si>
  <si>
    <t>กดปุ่ม + แถบล่าง → ของหาย กรอกครบ ถ่ายรูปด้วยกล้อง แล้วส่ง</t>
  </si>
  <si>
    <t>แสดง "บันทึกสำเร็จ" พร้อมหมายเลขรายการ รายการขึ้นในหน้าหลักพร้อมรูป</t>
  </si>
  <si>
    <t>M-09</t>
  </si>
  <si>
    <t>เข้าสู่ระบบ</t>
  </si>
  <si>
    <t>แจ้งพบของ โดยปักหมุดบนแผนที่และเลือกจุดรับฝาก</t>
  </si>
  <si>
    <t>ช่องสถานที่เติมชื่อสถานที่ใกล้หมุด บันทึกสำเร็จ</t>
  </si>
  <si>
    <t>M-10</t>
  </si>
  <si>
    <t>เลือกวันที่ในอนาคต / แนบไฟล์ PDF / รูปเกิน 5 MB</t>
  </si>
  <si>
    <t>ฟอร์มแจ้งข้อผิดพลาดและไม่ส่งข้อมูล</t>
  </si>
  <si>
    <t>M-11</t>
  </si>
  <si>
    <t>ผู้ใช้: จับคู่อัตโนมัติ</t>
  </si>
  <si>
    <t>บัญชี A แจ้งของหาย และเชื่อม LINE แล้ว</t>
  </si>
  <si>
    <t>บัญชี B แจ้งพบของที่ชื่อ/หมวด/สถานที่ใกล้เคียงกัน</t>
  </si>
  <si>
    <t>บัญชี A ได้แจ้งเตือนในเว็บ (กระดิ่ง) และข้อความ LINE ภายใน 1 นาที โดยไม่มีข้อมูลติดต่อของ B ในข้อความ</t>
  </si>
  <si>
    <t>M-12</t>
  </si>
  <si>
    <t>ผู้ใช้: ติดต่อเจ้าของ</t>
  </si>
  <si>
    <t>มีโพสต์ของคนอื่นที่ยังไม่คืน</t>
  </si>
  <si>
    <t>เปิดรายละเอียด → "นี่ของฉัน"/"ฉันเจอของชิ้นนี้" → ส่ง</t>
  </si>
  <si>
    <t>เห็นช่องทางติดต่อเจ้าของโพสต์ เจ้าของโพสต์ได้รับแจ้งเตือน</t>
  </si>
  <si>
    <t>M-13</t>
  </si>
  <si>
    <t>ผู้ใช้: คืนของ</t>
  </si>
  <si>
    <t>มีผู้ติดต่อโพสต์ของฉัน</t>
  </si>
  <si>
    <t>หน้าโพสต์ของฉัน → ยืนยันว่าได้รับของคืนแล้ว</t>
  </si>
  <si>
    <t>โพสต์เปลี่ยนเป็น "คืนของสำเร็จ" ผู้คืนได้เครดิต ครบ 3 ครั้งได้อีเมลเกียรติบัตร PDF</t>
  </si>
  <si>
    <t>M-14</t>
  </si>
  <si>
    <t>ผู้ใช้: โพสต์ของฉัน</t>
  </si>
  <si>
    <t>มีโพสต์ที่ยังไม่คืน</t>
  </si>
  <si>
    <t>แก้ไขชื่อ/สถานที่ แล้วลบโพสต์</t>
  </si>
  <si>
    <t>แก้ไขสำเร็จ ลบแล้วรายการหายจากหน้าหลัก โพสต์ที่คืนแล้วลบไม่ได้</t>
  </si>
  <si>
    <t>M-15</t>
  </si>
  <si>
    <t>ผู้ใช้: ค้นหา</t>
  </si>
  <si>
    <t>มีรายการหลายประเภท</t>
  </si>
  <si>
    <t>หน้าค้นหา: พิมพ์คำค้น กรองหมวด สถานะ สถานที่ ช่วงวันที่</t>
  </si>
  <si>
    <t>ผลลัพธ์ตรงตามตัวกรอง ไม่พบแสดงข้อความแนะนำ</t>
  </si>
  <si>
    <t>M-16</t>
  </si>
  <si>
    <t>ผู้ใช้: รายงาน</t>
  </si>
  <si>
    <t>มีโพสต์ของคนอื่น</t>
  </si>
  <si>
    <t>รายละเอียดโพสต์ → รายงานโพสต์นี้ → เลือกเหตุผล แนบรูป → ส่ง</t>
  </si>
  <si>
    <t>ได้เลขรายงาน RPT-ปี-xxxxxx และรายงานขึ้นในหน้าแอดมิน</t>
  </si>
  <si>
    <t>M-17</t>
  </si>
  <si>
    <t>ผู้ใช้: ตั้งค่า</t>
  </si>
  <si>
    <t>ตั้งค่า → โหมดมืด และตัวอักษร "ใหญ่มาก" แล้วรีเฟรชหน้า</t>
  </si>
  <si>
    <t>ทุกหน้าผู้ใช้เป็นโหมดมืด ตัวอักษรใหญ่ขึ้น และคงค่าหลังรีเฟรช</t>
  </si>
  <si>
    <t>M-18</t>
  </si>
  <si>
    <t>ผู้ใช้: โปรไฟล์</t>
  </si>
  <si>
    <t>แก้ชื่อ เบอร์โทร ช่องทางติดต่อ และอัปโหลดรูปโปรไฟล์</t>
  </si>
  <si>
    <t>บันทึกสำเร็จ รูปและชื่อมุมขวาบนเปลี่ยนทันที</t>
  </si>
  <si>
    <t>M-19</t>
  </si>
  <si>
    <t>LINE Bot</t>
  </si>
  <si>
    <t>มี LINE Official Account และ webhook ใช้งานได้</t>
  </si>
  <si>
    <t>เพิ่มเพื่อน @KULostFound → พิมพ์ "เชื่อมบัญชี" → กดลิงก์ → ยืนยันในเว็บ</t>
  </si>
  <si>
    <t>บอทตอบว่าเชื่อมบัญชีแล้ว หน้าตั้งค่าแสดงสถานะ "เชื่อมแล้ว"</t>
  </si>
  <si>
    <t>M-20</t>
  </si>
  <si>
    <t>เชื่อมบัญชีแล้ว</t>
  </si>
  <si>
    <t>พิมพ์ "สถานะ" และ "ยกเลิกการเชื่อม"</t>
  </si>
  <si>
    <t>บอทแสดงสถานะการเชื่อม และยกเลิกได้ ไม่ได้รับแจ้งเตือนอีก</t>
  </si>
  <si>
    <t>M-21</t>
  </si>
  <si>
    <t>deploy Rich Menu แล้ว</t>
  </si>
  <si>
    <t>กดเมนูทั้ง 6 ปุ่มใน LINE</t>
  </si>
  <si>
    <t>เปิดหน้าเว็บที่ถูกต้อง (แจ้งของหาย, ค้นหา, รายการของฉัน, แจ้งพบของ, แจ้งเตือน, บัญชี)</t>
  </si>
  <si>
    <t>M-22</t>
  </si>
  <si>
    <t>แอดมิน</t>
  </si>
  <si>
    <t>มีบัญชีแอดมิน</t>
  </si>
  <si>
    <t>เข้า /admin/login ด้วยอีเมลและรหัสผ่าน</t>
  </si>
  <si>
    <t>เข้าแดชบอร์ด เห็นตัวเลขสรุปและกราฟแนวโน้ม</t>
  </si>
  <si>
    <t>M-23</t>
  </si>
  <si>
    <t>แอดมิน: รายการ</t>
  </si>
  <si>
    <t>มีของหาย/ของพบในระบบ</t>
  </si>
  <si>
    <t>หน้าแจ้งของหาย: ค้นหา กรองสถานะ/หมวด/วันที่ เปิดดู แก้ไข ลบ เปลี่ยนหน้า</t>
  </si>
  <si>
    <t>ผลตรงตามตัวกรอง แก้ไข/ลบแล้วข้อมูลเปลี่ยนจริง และบันทึกในประวัติการดำเนินการ</t>
  </si>
  <si>
    <t>M-24</t>
  </si>
  <si>
    <t>แอดมิน: รายงาน</t>
  </si>
  <si>
    <t>มีรายงานรอดำเนินการ</t>
  </si>
  <si>
    <t>ตรวจสอบรายการ → เปิดรายงาน → ออกคำเตือน/ระงับ/แบน/ยกเลิก</t>
  </si>
  <si>
    <t>สถานะรายงานและบัญชีผู้ใช้เปลี่ยนตามที่เลือก มี timeline ผู้ดำเนินการ</t>
  </si>
  <si>
    <t>M-25</t>
  </si>
  <si>
    <t>แอดมิน: ผู้ใช้</t>
  </si>
  <si>
    <t>มีผู้ใช้ทั่วไป</t>
  </si>
  <si>
    <t>ระงับบัญชี 7 วัน แล้วให้ผู้ใช้นั้นขอ OTP</t>
  </si>
  <si>
    <t>ผู้ใช้ขอ OTP ไม่ได้ เห็นวันสิ้นสุดการระงับ ยกเลิกการระงับแล้วเข้าได้ปกติ</t>
  </si>
  <si>
    <t>M-26</t>
  </si>
  <si>
    <t>แอดมิน: ประวัติ</t>
  </si>
  <si>
    <t>แอดมินเคยดำเนินการ</t>
  </si>
  <si>
    <t>หน้าประวัติการดำเนินการ: กรองตามประเภท แอดมิน ช่วงวันที่ และเปิดดูรายละเอียด</t>
  </si>
  <si>
    <t>เห็นค่าก่อน/หลังการแก้ไข และไม่มีปุ่มแก้ไข/ลบประวัติ</t>
  </si>
  <si>
    <t>M-27</t>
  </si>
  <si>
    <t>แอดมิน: ค่าระบบ</t>
  </si>
  <si>
    <t>เข้าสู่ระบบแอดมิน</t>
  </si>
  <si>
    <t>ตั้งค่า → ค่าระบบ: เปลี่ยนเกณฑ์จับคู่ หมวดหมู่ จุดรับฝาก แล้วบันทึก</t>
  </si>
  <si>
    <t>หน้าแจ้งของฝั่งผู้ใช้เห็นหมวด/จุดรับฝากใหม่ภายใน 5 นาทีหรือเมื่อรีเฟรช</t>
  </si>
  <si>
    <t>M-28</t>
  </si>
  <si>
    <t>แอดมิน: ประกาศ</t>
  </si>
  <si>
    <t>ตั้งค่า → ประกาศ: เลือกประเภท ข้อความ ช่วงวันที่ แล้วบันทึก</t>
  </si>
  <si>
    <t>ผู้ใช้เห็นป้ายประกาศบนทุกหน้า ปิดได้ และแสดงใหม่เมื่อข้อความเปลี่ยน</t>
  </si>
  <si>
    <t>M-29</t>
  </si>
  <si>
    <t>แอดมิน: ปิดปรับปรุง</t>
  </si>
  <si>
    <t>เปิดโหมดปิดปรับปรุงพร้อมข้อความ แล้วเปิดเว็บฝั่งผู้ใช้</t>
  </si>
  <si>
    <t>ผู้ใช้เห็นหน้าแจ้งปิดปรับปรุง API ตอบ 503 แอดมินยังใช้งานได้ ปิดโหมดแล้วกลับมาปกติ</t>
  </si>
  <si>
    <t>M-30</t>
  </si>
  <si>
    <t>Responsive</t>
  </si>
  <si>
    <t>-</t>
  </si>
  <si>
    <t>เปิดหน้าหลัก แจ้งของ โพสต์ของฉัน และหน้าแอดมิน ที่ความกว้าง 375, 768, 1440 px</t>
  </si>
  <si>
    <t>ไม่มีส่วนใดล้นจอแนวนอน ปุ่มกดได้ แถบเมนูล่างแสดงเฉพาะมือถือ</t>
  </si>
  <si>
    <t>ข้อบกพร่องและข้อสังเกตที่พบ</t>
  </si>
  <si>
    <t>ประเภท</t>
  </si>
  <si>
    <t>ผลกระทบ</t>
  </si>
  <si>
    <t>ข้อเสนอแนะ</t>
  </si>
  <si>
    <t>D-01</t>
  </si>
  <si>
    <t>ข้อบกพร่อง</t>
  </si>
  <si>
    <t>หน้ารายงานโพสต์ให้แนบรูปได้ 3 รูป แต่ส่งไปเซิร์ฟเวอร์เฉพาะรูปแรก (backend รับ upload.single("evidence"))</t>
  </si>
  <si>
    <t>ผู้ใช้เข้าใจว่าส่งหลักฐานครบ 3 รูป แต่แอดมินเห็นเพียงรูปเดียว</t>
  </si>
  <si>
    <t>เปลี่ยน backend เป็น upload.array("evidence", 3) หรือจำกัดหน้าเว็บให้แนบได้ 1 รูป (เทส FE-RP-06 บันทึกพฤติกรรมนี้ไว้)</t>
  </si>
  <si>
    <t>ยังไม่แก้</t>
  </si>
  <si>
    <t>D-02</t>
  </si>
  <si>
    <t>สภาพแวดล้อม</t>
  </si>
  <si>
    <t>ส่งอีเมล OTP ไม่ได้ในเครื่องพัฒนา: Gmail ปฏิเสธ App Password (EAUTH 535)</t>
  </si>
  <si>
    <t>ผู้ใช้เข้าสู่ระบบไม่ได้ (ทั้ง OTP และ Google ที่ต้องใช้ OTP ขั้นที่ 2)</t>
  </si>
  <si>
    <t>ตั้ง App Password ใหม่แล้ว — ตรวจการเชื่อมต่อ Gmail SMTP สำเร็จเมื่อ 27 ต.ค. 2569 ควรทดสอบ M-03 ซ้ำ</t>
  </si>
  <si>
    <t>แก้แล้ว</t>
  </si>
  <si>
    <t>D-03</t>
  </si>
  <si>
    <t>ข้อสังเกต</t>
  </si>
  <si>
    <t>oxlint เตือน 2 จุด: เรียก setState ใน useEffect (AdminLayout.jsx:125, ReportDetailPanel.jsx:37)</t>
  </si>
  <si>
    <t>ไม่กระทบการทำงาน อาจ render ซ้ำ 1 รอบ</t>
  </si>
  <si>
    <t>ปรับเป็นการคำนวณค่าตอน render หรืออัปเดตจาก event</t>
  </si>
  <si>
    <t>D-04</t>
  </si>
  <si>
    <t>ไฟล์ JavaScript หลังสร้าง (build) ใหญ่กว่า 500 kB</t>
  </si>
  <si>
    <t>หน้าแรกโหลดช้าลงบนเครือข่ายมือถือ</t>
  </si>
  <si>
    <t>แยกโค้ดหน้าแอดมินและแผนที่ด้วย dynamic import()</t>
  </si>
  <si>
    <t>D-05</t>
  </si>
  <si>
    <t>ประกาศที่ส่ง tone ไม่รู้จัก ถูกปรับเป็น "info" โดยไม่แจ้ง (SET-17)</t>
  </si>
  <si>
    <t>ไม่มีผลกับผู้ใช้ (หน้าแอดมินเลือกได้เฉพาะประเภทที่รองรับ)</t>
  </si>
  <si>
    <t>คงไว้ตามเดิม หรือตอบ 400 ถ้าต้องการให้เข้มงวด</t>
  </si>
  <si>
    <t>ยอมรับได้</t>
  </si>
  <si>
    <t>D-06</t>
  </si>
  <si>
    <t>ช่องว่างการทดสอบ</t>
  </si>
  <si>
    <t>ยังไม่มีเทสอัตโนมัติฝั่งหน้าเว็บสำหรับ โพสต์ของฉัน, โปรไฟล์/ตั้งค่า, หน้าค้นหา, หน้าเชื่อม LINE และหน้าแอดมิน รายการ/ประวัติ/ตั้งค่า</t>
  </si>
  <si>
    <t>การเปลี่ยนแปลงหน้าเหล่านี้อาจทำให้เกิด regression โดยไม่รู้ตัว</t>
  </si>
  <si>
    <t>API ของหน้าเหล่านี้มีเทสแล้ว (MYI, ME, AUD, SET, node:test adminItems) ควรเพิ่มเทส UI และทดสอบด้วยมือ M-14, M-15, M-23, M-26</t>
  </si>
  <si>
    <t>เปิด</t>
  </si>
  <si>
    <t>เทสเดิมที่ปรับให้ตรงกับพฤติกรรมปัจจุบันของระบบ (ไม่ใช่บั๊กของระบบ)</t>
  </si>
  <si>
    <t>ส่วนของระบบ</t>
  </si>
  <si>
    <t>พฤติกรรมที่เปลี่ยน</t>
  </si>
  <si>
    <t>สิ่งที่ปรับในเทส</t>
  </si>
  <si>
    <t>แจ้งของ /foundItem, /lostItem และรายงานโพสต์ /report</t>
  </si>
  <si>
    <t>ต้องมี token ผู้ใช้ และรหัสผู้แจ้ง/ผู้รายงานมาจาก token (ปลอมผ่าน body ไม่ได้)</t>
  </si>
  <si>
    <t>เพิ่ม token ในเทส + เพิ่มเทสกันการปลอมรหัส (FND/LST-10, RPT-14)</t>
  </si>
  <si>
    <t>ยืนยันการคืนของ /api/returns</t>
  </si>
  <si>
    <t>เปลี่ยนเป็นเฉพาะแอดมิน และจำนวนครั้งที่ได้เกียรติบัตรอ่านจากค่าระบบ</t>
  </si>
  <si>
    <t>เพิ่ม token แอดมิน + CRT-07, CRT-08</t>
  </si>
  <si>
    <t>ตรวจ OTP /api/verify-otp</t>
  </si>
  <si>
    <t>เทียบรหัสแบบ timing-safe นับจำนวนครั้งที่ผิด (สูงสุด 5) และออก token ผู้ใช้</t>
  </si>
  <si>
    <t>ปรับตัวจำลอง SQL + เพิ่ม VOTP-10..12</t>
  </si>
  <si>
    <t>ข้อมูลผู้ใช้ /api/users/:email, /user</t>
  </si>
  <si>
    <t>ต้องเป็นเจ้าของอีเมล / /user เฉพาะแอดมิน</t>
  </si>
  <si>
    <t>เพิ่ม USR-04..08</t>
  </si>
  <si>
    <t>แจ้งเตือน LINE /api/notifications/line</t>
  </si>
  <si>
    <t>ปิดใช้งานถ้าไม่ได้ตั้ง NOTIFY_API_KEY</t>
  </si>
  <si>
    <t>ส่ง key ในทุกเทส + LN-05</t>
  </si>
  <si>
    <t>สถิติ /api/stats/summary</t>
  </si>
  <si>
    <t>ถูกนำออกจากระบบ (หน้าเว็บไม่ได้ใช้)</t>
  </si>
  <si>
    <t>ลบเทส STAT-01, STAT-02</t>
  </si>
  <si>
    <t>แอดมินจัดการผู้ใช้/รายการ/ค่าระบบ</t>
  </si>
  <si>
    <t>ทำใน transaction พร้อมบันทึก audit log</t>
  </si>
  <si>
    <t>จำลอง db.connect() + ตรวจ INSERT audit และ COMMIT</t>
  </si>
  <si>
    <t>แดชบอร์ดแอดมิน และ timeline รายงาน</t>
  </si>
  <si>
    <t>เพิ่มตัวเลข 5 ค่าใหม่ และข้อความ timeline เป็นภาษาไทย</t>
  </si>
  <si>
    <t>ปรับค่าที่คาดหวัง (ADM-02, ADM-09, ADM-10)</t>
  </si>
  <si>
    <t>หน้าเว็บผู้ใช้</t>
  </si>
  <si>
    <t>ลบ Navbar / FormFoundItem / BottomNav เดิม ใช้ UserLayout, ReportItemForm, BottomNav ใหม่ และ userApi (axios.create)</t>
  </si>
  <si>
    <t>เขียนเทสใหม่ + axios mock ที่รองรับ create()</t>
  </si>
  <si>
    <t>ส่ง OTP /api/send-otp</t>
  </si>
  <si>
    <t>แยกโค้ดส่ง OTP เป็นฟังก์ชัน issueOtp() ใช้ร่วมกับการเข้าด้วย Google (พฤติกรรมเดิม)</t>
  </si>
  <si>
    <t>เพิ่ม OTP-08 (ขอซ้ำภายใน 60 วินาที → 429) เพื่อยืนยันว่าแยกโค้ดแล้วไม่เปลี่ยนพฤติกรรม</t>
  </si>
  <si>
    <t>หน้าเข้าสู่ระบบ/สมัคร</t>
  </si>
  <si>
    <t>โหลดค่าระบบสาธารณะเพื่อแสดงปุ่ม Google (มีเมื่อตั้ง GOOGLE_CLIENT_ID)</t>
  </si>
  <si>
    <t>auth.test.jsx: จำลอง axios.get ของค่าระบบ + ปรับ FE-LG-11 เป็นกรณียังไม่ตั้งค่า Google</t>
  </si>
  <si>
    <t>การป้องกันหน้า (ProtectedRoute)</t>
  </si>
  <si>
    <t>ตรวจจาก JWT ที่ยังไม่หมดอายุ แทน isLoggedIn และจำหน้าที่จะเปิด</t>
  </si>
  <si>
    <t>เขียนเทส FE-RT ใหม่ + FE-RT-06, FE-RT-07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</si>
</sst>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color theme="1"/>
      <family val="2"/>
      <scheme val="minor"/>
      <sz val="11"/>
      <name val="Calibri"/>
    </font>
    <font>
      <b/>
      <color rgb="FF006664"/>
      <sz val="15"/>
      <name val="Tahoma"/>
    </font>
    <font>
      <color rgb="FF64748B"/>
      <sz val="10"/>
      <name val="Tahoma"/>
    </font>
    <font>
      <b/>
      <sz val="12"/>
      <name val="Tahoma"/>
    </font>
    <font>
      <b/>
      <color rgb="FFFFFFFF"/>
      <sz val="10"/>
      <name val="Tahoma"/>
    </font>
    <font>
      <sz val="10"/>
      <name val="Tahoma"/>
    </font>
    <font>
      <b/>
      <sz val="10"/>
      <name val="Tahoma"/>
    </font>
    <font>
      <color rgb="FF0000FF"/>
      <sz val="10"/>
      <name val="Tahoma"/>
    </font>
    <font>
      <i/>
      <color rgb="FF64748B"/>
      <sz val="10"/>
      <name val="Tahoma"/>
    </font>
    <font>
      <b/>
      <color rgb="FF006664"/>
      <sz val="13"/>
      <name val="Tahoma"/>
    </font>
  </fonts>
  <fills count="4">
    <fill>
      <patternFill patternType="none"/>
    </fill>
    <fill>
      <patternFill patternType="gray125"/>
    </fill>
    <fill>
      <patternFill patternType="solid">
        <fgColor rgb="FF006664"/>
      </patternFill>
    </fill>
    <fill>
      <patternFill patternType="solid">
        <fgColor rgb="FFFFF9C4"/>
      </patternFill>
    </fill>
  </fills>
  <borders count="4">
    <border>
      <left/>
      <right/>
      <top/>
      <bottom/>
      <diagonal/>
    </border>
    <border>
      <left/>
      <right/>
      <top/>
      <bottom style="thin">
        <color rgb="FF94A3B8"/>
      </bottom>
      <diagonal/>
    </border>
    <border>
      <left/>
      <right/>
      <top/>
      <bottom style="hair">
        <color rgb="FFCBD5E1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/>
    </xf>
    <xf numFmtId="164" fontId="6" fillId="0" borderId="3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/>
    </xf>
    <xf numFmtId="10" fontId="7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8" fillId="0" borderId="0" xfId="0" applyFont="1"/>
    <xf numFmtId="0" fontId="9" fillId="0" borderId="0" xfId="0" applyFont="1"/>
    <xf numFmtId="3" fontId="5" fillId="0" borderId="2" xfId="0" applyNumberFormat="1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15"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30" customWidth="1"/>
    <col min="3" max="6" width="12" customWidth="1"/>
    <col min="7" max="7" width="13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ht="30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s="5" t="s">
        <v>10</v>
      </c>
      <c r="B6" s="5" t="s">
        <v>11</v>
      </c>
      <c r="C6" s="6">
        <f>COUNTA('Backend (Jest)'!G4:G319)</f>
      </c>
      <c r="D6" s="6">
        <f>COUNTIF('Backend (Jest)'!G4:G319,"ผ่าน")</f>
      </c>
      <c r="E6" s="6">
        <f>COUNTIF('Backend (Jest)'!G4:G319,"ไม่ผ่าน")</f>
      </c>
      <c r="F6" s="6">
        <f>COUNTIF('Backend (Jest)'!G4:G319,"ข้าม")</f>
      </c>
      <c r="G6" s="7">
        <f>IF(C6=0,0,D6/C6)</f>
      </c>
    </row>
    <row r="7" spans="1:7" x14ac:dyDescent="0.25">
      <c r="A7" s="5" t="s">
        <v>12</v>
      </c>
      <c r="B7" s="5" t="s">
        <v>13</v>
      </c>
      <c r="C7" s="6">
        <f>COUNTA('Backend (node-test)'!G4:G80)</f>
      </c>
      <c r="D7" s="6">
        <f>COUNTIF('Backend (node-test)'!G4:G80,"ผ่าน")</f>
      </c>
      <c r="E7" s="6">
        <f>COUNTIF('Backend (node-test)'!G4:G80,"ไม่ผ่าน")</f>
      </c>
      <c r="F7" s="6">
        <f>COUNTIF('Backend (node-test)'!G4:G80,"ข้าม")</f>
      </c>
      <c r="G7" s="7">
        <f>IF(C7=0,0,D7/C7)</f>
      </c>
    </row>
    <row r="8" spans="1:7" x14ac:dyDescent="0.25">
      <c r="A8" s="5" t="s">
        <v>14</v>
      </c>
      <c r="B8" s="5" t="s">
        <v>15</v>
      </c>
      <c r="C8" s="6">
        <f>COUNTA('Frontend (Vitest)'!G4:G193)</f>
      </c>
      <c r="D8" s="6">
        <f>COUNTIF('Frontend (Vitest)'!G4:G193,"ผ่าน")</f>
      </c>
      <c r="E8" s="6">
        <f>COUNTIF('Frontend (Vitest)'!G4:G193,"ไม่ผ่าน")</f>
      </c>
      <c r="F8" s="6">
        <f>COUNTIF('Frontend (Vitest)'!G4:G193,"ข้าม")</f>
      </c>
      <c r="G8" s="7">
        <f>IF(C8=0,0,D8/C8)</f>
      </c>
    </row>
    <row r="9" spans="1:7" x14ac:dyDescent="0.25">
      <c r="A9" s="8" t="s">
        <v>16</v>
      </c>
      <c r="B9" s="5"/>
      <c r="C9" s="9">
        <f>SUM(C6:C8)</f>
      </c>
      <c r="D9" s="9">
        <f>SUM(D6:D8)</f>
      </c>
      <c r="E9" s="9">
        <f>SUM(E6:E8)</f>
      </c>
      <c r="F9" s="9">
        <f>SUM(F6:F8)</f>
      </c>
      <c r="G9" s="10">
        <f>IF(C9=0,0,D9/C9)</f>
      </c>
    </row>
    <row r="11" spans="1:1" x14ac:dyDescent="0.25">
      <c r="A11" s="3" t="s">
        <v>17</v>
      </c>
    </row>
    <row r="12" ht="30" customHeight="1" spans="1:3" x14ac:dyDescent="0.25">
      <c r="A12" s="4" t="s">
        <v>18</v>
      </c>
      <c r="B12" s="4" t="s">
        <v>19</v>
      </c>
      <c r="C12" s="4" t="s">
        <v>20</v>
      </c>
    </row>
    <row r="13" spans="1:3" x14ac:dyDescent="0.25">
      <c r="A13" s="5" t="s">
        <v>6</v>
      </c>
      <c r="B13" s="5"/>
      <c r="C13" s="11">
        <f>COUNTIF('Manual E2E'!I5:I37,"ผ่าน")</f>
      </c>
    </row>
    <row r="14" spans="1:3" x14ac:dyDescent="0.25">
      <c r="A14" s="5" t="s">
        <v>7</v>
      </c>
      <c r="B14" s="5"/>
      <c r="C14" s="11">
        <f>COUNTIF('Manual E2E'!I5:I37,"ไม่ผ่าน")</f>
      </c>
    </row>
    <row r="15" spans="1:3" x14ac:dyDescent="0.25">
      <c r="A15" s="5" t="s">
        <v>21</v>
      </c>
      <c r="B15" s="5"/>
      <c r="C15" s="11">
        <f>COUNTIF('Manual E2E'!I5:I37,"ยังไม่ทดสอบ")</f>
      </c>
    </row>
    <row r="16" spans="1:3" x14ac:dyDescent="0.25">
      <c r="A16" s="12" t="s">
        <v>16</v>
      </c>
      <c r="B16" s="5"/>
      <c r="C16" s="13">
        <f>SUM(C13:C15)</f>
      </c>
    </row>
    <row r="18" spans="1:1" x14ac:dyDescent="0.25">
      <c r="A18" s="3" t="s">
        <v>22</v>
      </c>
    </row>
    <row r="19" ht="30" customHeight="1" spans="1:6" x14ac:dyDescent="0.25">
      <c r="A19" s="4" t="s">
        <v>3</v>
      </c>
      <c r="B19" s="4" t="s">
        <v>23</v>
      </c>
      <c r="C19" s="4" t="s">
        <v>24</v>
      </c>
      <c r="D19" s="4" t="s">
        <v>25</v>
      </c>
      <c r="E19" s="4" t="s">
        <v>26</v>
      </c>
      <c r="F19" s="4" t="s">
        <v>27</v>
      </c>
    </row>
    <row r="20" spans="1:6" x14ac:dyDescent="0.25">
      <c r="A20" s="5" t="s">
        <v>28</v>
      </c>
      <c r="B20" s="5" t="s">
        <v>29</v>
      </c>
      <c r="C20" s="14">
        <v>0.7084999999999999</v>
      </c>
      <c r="D20" s="14">
        <v>0.8781</v>
      </c>
      <c r="E20" s="14">
        <v>0.46909999999999996</v>
      </c>
      <c r="F20" s="14">
        <v>0.7084999999999999</v>
      </c>
    </row>
    <row r="21" spans="1:6" x14ac:dyDescent="0.25">
      <c r="A21" s="5" t="s">
        <v>30</v>
      </c>
      <c r="B21" s="5" t="s">
        <v>31</v>
      </c>
      <c r="C21" s="14">
        <v>0.7947</v>
      </c>
      <c r="D21" s="14">
        <v>0.6501</v>
      </c>
      <c r="E21" s="14">
        <v>0.7193999999999999</v>
      </c>
      <c r="F21" s="14">
        <v>0.8112999999999999</v>
      </c>
    </row>
    <row r="23" spans="1:1" x14ac:dyDescent="0.25">
      <c r="A23" s="3" t="s">
        <v>32</v>
      </c>
    </row>
    <row r="24" ht="30" customHeight="1" spans="1:3" x14ac:dyDescent="0.25">
      <c r="A24" s="4" t="s">
        <v>33</v>
      </c>
      <c r="B24" s="4" t="s">
        <v>34</v>
      </c>
      <c r="C24" s="4" t="s">
        <v>35</v>
      </c>
    </row>
    <row r="25" spans="1:3" x14ac:dyDescent="0.25">
      <c r="A25" s="5" t="s">
        <v>36</v>
      </c>
      <c r="B25" s="5" t="s">
        <v>37</v>
      </c>
      <c r="C25" s="5" t="s">
        <v>6</v>
      </c>
    </row>
    <row r="26" spans="1:3" x14ac:dyDescent="0.25">
      <c r="A26" s="5" t="s">
        <v>38</v>
      </c>
      <c r="B26" s="5" t="s">
        <v>39</v>
      </c>
      <c r="C26" s="5" t="s">
        <v>6</v>
      </c>
    </row>
    <row r="28" spans="1:1" x14ac:dyDescent="0.25">
      <c r="A28" s="3" t="s">
        <v>40</v>
      </c>
    </row>
    <row r="29" ht="30" customHeight="1" spans="1:3" x14ac:dyDescent="0.25">
      <c r="A29" s="4" t="s">
        <v>41</v>
      </c>
      <c r="B29" s="4" t="s">
        <v>19</v>
      </c>
      <c r="C29" s="4" t="s">
        <v>20</v>
      </c>
    </row>
    <row r="30" spans="1:3" x14ac:dyDescent="0.25">
      <c r="A30" s="5" t="s">
        <v>42</v>
      </c>
      <c r="B30" s="5"/>
      <c r="C30" s="15">
        <f>COUNTIF('ข้อบกพร่อง'!C3:C8,"สูง")</f>
      </c>
    </row>
    <row r="31" spans="1:3" x14ac:dyDescent="0.25">
      <c r="A31" s="5" t="s">
        <v>43</v>
      </c>
      <c r="B31" s="5"/>
      <c r="C31" s="15">
        <f>COUNTIF('ข้อบกพร่อง'!C3:C8,"กลาง")</f>
      </c>
    </row>
    <row r="32" spans="1:3" x14ac:dyDescent="0.25">
      <c r="A32" s="5" t="s">
        <v>44</v>
      </c>
      <c r="B32" s="5"/>
      <c r="C32" s="15">
        <f>COUNTIF('ข้อบกพร่อง'!C3:C8,"ต่ำ")</f>
      </c>
    </row>
    <row r="34" spans="1:1" x14ac:dyDescent="0.25">
      <c r="A34" s="16" t="s">
        <v>45</v>
      </c>
    </row>
  </sheetData>
  <conditionalFormatting sqref="C25:C26">
    <cfRule type="containsText" dxfId="0" priority="1">
      <formula>NOT(ISERROR(SEARCH("ไม่ผ่าน",C25)))</formula>
    </cfRule>
    <cfRule type="containsText" dxfId="1" priority="2">
      <formula>NOT(ISERROR(SEARCH("ผ่าน",C25)))</formula>
    </cfRule>
    <cfRule type="containsText" dxfId="2" priority="3">
      <formula>NOT(ISERROR(SEARCH("ข้าม",C25)))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6" customWidth="1"/>
    <col min="4" max="4" width="30" customWidth="1"/>
    <col min="5" max="5" width="56" customWidth="1"/>
    <col min="6" max="6" width="40" customWidth="1"/>
    <col min="7" max="7" width="11" customWidth="1"/>
    <col min="8" max="8" width="10" customWidth="1"/>
  </cols>
  <sheetData>
    <row r="1" spans="1:1" x14ac:dyDescent="0.25">
      <c r="A1" s="17" t="s">
        <v>46</v>
      </c>
    </row>
    <row r="2" spans="1:1" x14ac:dyDescent="0.25">
      <c r="A2" s="2" t="s">
        <v>47</v>
      </c>
    </row>
    <row r="3" ht="30" customHeight="1" spans="1:8" x14ac:dyDescent="0.25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spans="1:8" x14ac:dyDescent="0.25">
      <c r="A4" s="6">
        <v>1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6" t="s">
        <v>6</v>
      </c>
      <c r="H4" s="18">
        <v>65</v>
      </c>
    </row>
    <row r="5" spans="1:8" x14ac:dyDescent="0.25">
      <c r="A5" s="6">
        <v>2</v>
      </c>
      <c r="B5" s="5" t="s">
        <v>56</v>
      </c>
      <c r="C5" s="5" t="s">
        <v>57</v>
      </c>
      <c r="D5" s="5" t="s">
        <v>58</v>
      </c>
      <c r="E5" s="5" t="s">
        <v>61</v>
      </c>
      <c r="F5" s="5" t="s">
        <v>60</v>
      </c>
      <c r="G5" s="6" t="s">
        <v>6</v>
      </c>
      <c r="H5" s="18">
        <v>6</v>
      </c>
    </row>
    <row r="6" spans="1:8" x14ac:dyDescent="0.25">
      <c r="A6" s="6">
        <v>3</v>
      </c>
      <c r="B6" s="5" t="s">
        <v>56</v>
      </c>
      <c r="C6" s="5" t="s">
        <v>57</v>
      </c>
      <c r="D6" s="5" t="s">
        <v>58</v>
      </c>
      <c r="E6" s="5" t="s">
        <v>62</v>
      </c>
      <c r="F6" s="5" t="s">
        <v>60</v>
      </c>
      <c r="G6" s="6" t="s">
        <v>6</v>
      </c>
      <c r="H6" s="18">
        <v>32</v>
      </c>
    </row>
    <row r="7" spans="1:8" x14ac:dyDescent="0.25">
      <c r="A7" s="6">
        <v>4</v>
      </c>
      <c r="B7" s="5" t="s">
        <v>56</v>
      </c>
      <c r="C7" s="5" t="s">
        <v>57</v>
      </c>
      <c r="D7" s="5" t="s">
        <v>58</v>
      </c>
      <c r="E7" s="5" t="s">
        <v>63</v>
      </c>
      <c r="F7" s="5" t="s">
        <v>60</v>
      </c>
      <c r="G7" s="6" t="s">
        <v>6</v>
      </c>
      <c r="H7" s="18">
        <v>27</v>
      </c>
    </row>
    <row r="8" spans="1:8" x14ac:dyDescent="0.25">
      <c r="A8" s="6">
        <v>5</v>
      </c>
      <c r="B8" s="5" t="s">
        <v>56</v>
      </c>
      <c r="C8" s="5" t="s">
        <v>57</v>
      </c>
      <c r="D8" s="5" t="s">
        <v>58</v>
      </c>
      <c r="E8" s="5" t="s">
        <v>64</v>
      </c>
      <c r="F8" s="5" t="s">
        <v>60</v>
      </c>
      <c r="G8" s="6" t="s">
        <v>6</v>
      </c>
      <c r="H8" s="18">
        <v>16</v>
      </c>
    </row>
    <row r="9" spans="1:8" x14ac:dyDescent="0.25">
      <c r="A9" s="6">
        <v>6</v>
      </c>
      <c r="B9" s="5" t="s">
        <v>56</v>
      </c>
      <c r="C9" s="5" t="s">
        <v>57</v>
      </c>
      <c r="D9" s="5" t="s">
        <v>58</v>
      </c>
      <c r="E9" s="5" t="s">
        <v>65</v>
      </c>
      <c r="F9" s="5" t="s">
        <v>60</v>
      </c>
      <c r="G9" s="6" t="s">
        <v>6</v>
      </c>
      <c r="H9" s="18">
        <v>20</v>
      </c>
    </row>
    <row r="10" spans="1:8" x14ac:dyDescent="0.25">
      <c r="A10" s="6">
        <v>7</v>
      </c>
      <c r="B10" s="5" t="s">
        <v>56</v>
      </c>
      <c r="C10" s="5" t="s">
        <v>57</v>
      </c>
      <c r="D10" s="5" t="s">
        <v>58</v>
      </c>
      <c r="E10" s="5" t="s">
        <v>66</v>
      </c>
      <c r="F10" s="5" t="s">
        <v>60</v>
      </c>
      <c r="G10" s="6" t="s">
        <v>6</v>
      </c>
      <c r="H10" s="18">
        <v>12</v>
      </c>
    </row>
    <row r="11" spans="1:8" x14ac:dyDescent="0.25">
      <c r="A11" s="6">
        <v>8</v>
      </c>
      <c r="B11" s="5" t="s">
        <v>56</v>
      </c>
      <c r="C11" s="5" t="s">
        <v>57</v>
      </c>
      <c r="D11" s="5" t="s">
        <v>58</v>
      </c>
      <c r="E11" s="5" t="s">
        <v>67</v>
      </c>
      <c r="F11" s="5" t="s">
        <v>60</v>
      </c>
      <c r="G11" s="6" t="s">
        <v>6</v>
      </c>
      <c r="H11" s="18">
        <v>11</v>
      </c>
    </row>
    <row r="12" spans="1:8" x14ac:dyDescent="0.25">
      <c r="A12" s="6">
        <v>9</v>
      </c>
      <c r="B12" s="5" t="s">
        <v>56</v>
      </c>
      <c r="C12" s="5" t="s">
        <v>57</v>
      </c>
      <c r="D12" s="5" t="s">
        <v>58</v>
      </c>
      <c r="E12" s="5" t="s">
        <v>68</v>
      </c>
      <c r="F12" s="5" t="s">
        <v>60</v>
      </c>
      <c r="G12" s="6" t="s">
        <v>6</v>
      </c>
      <c r="H12" s="18">
        <v>15</v>
      </c>
    </row>
    <row r="13" spans="1:8" x14ac:dyDescent="0.25">
      <c r="A13" s="6">
        <v>10</v>
      </c>
      <c r="B13" s="5" t="s">
        <v>56</v>
      </c>
      <c r="C13" s="5" t="s">
        <v>57</v>
      </c>
      <c r="D13" s="5" t="s">
        <v>58</v>
      </c>
      <c r="E13" s="5" t="s">
        <v>69</v>
      </c>
      <c r="F13" s="5" t="s">
        <v>60</v>
      </c>
      <c r="G13" s="6" t="s">
        <v>6</v>
      </c>
      <c r="H13" s="18">
        <v>5</v>
      </c>
    </row>
    <row r="14" spans="1:8" x14ac:dyDescent="0.25">
      <c r="A14" s="6">
        <v>11</v>
      </c>
      <c r="B14" s="5" t="s">
        <v>70</v>
      </c>
      <c r="C14" s="5" t="s">
        <v>57</v>
      </c>
      <c r="D14" s="5" t="s">
        <v>71</v>
      </c>
      <c r="E14" s="5" t="s">
        <v>72</v>
      </c>
      <c r="F14" s="5" t="s">
        <v>73</v>
      </c>
      <c r="G14" s="6" t="s">
        <v>6</v>
      </c>
      <c r="H14" s="18">
        <v>13</v>
      </c>
    </row>
    <row r="15" spans="1:8" x14ac:dyDescent="0.25">
      <c r="A15" s="6">
        <v>12</v>
      </c>
      <c r="B15" s="5" t="s">
        <v>74</v>
      </c>
      <c r="C15" s="5" t="s">
        <v>57</v>
      </c>
      <c r="D15" s="5" t="s">
        <v>71</v>
      </c>
      <c r="E15" s="5" t="s">
        <v>75</v>
      </c>
      <c r="F15" s="5" t="s">
        <v>76</v>
      </c>
      <c r="G15" s="6" t="s">
        <v>6</v>
      </c>
      <c r="H15" s="18">
        <v>5</v>
      </c>
    </row>
    <row r="16" spans="1:8" x14ac:dyDescent="0.25">
      <c r="A16" s="6">
        <v>13</v>
      </c>
      <c r="B16" s="5" t="s">
        <v>77</v>
      </c>
      <c r="C16" s="5" t="s">
        <v>57</v>
      </c>
      <c r="D16" s="5" t="s">
        <v>71</v>
      </c>
      <c r="E16" s="5" t="s">
        <v>78</v>
      </c>
      <c r="F16" s="5" t="s">
        <v>79</v>
      </c>
      <c r="G16" s="6" t="s">
        <v>6</v>
      </c>
      <c r="H16" s="18">
        <v>9</v>
      </c>
    </row>
    <row r="17" spans="1:8" x14ac:dyDescent="0.25">
      <c r="A17" s="6">
        <v>14</v>
      </c>
      <c r="B17" s="5" t="s">
        <v>80</v>
      </c>
      <c r="C17" s="5" t="s">
        <v>57</v>
      </c>
      <c r="D17" s="5" t="s">
        <v>71</v>
      </c>
      <c r="E17" s="5" t="s">
        <v>81</v>
      </c>
      <c r="F17" s="5" t="s">
        <v>82</v>
      </c>
      <c r="G17" s="6" t="s">
        <v>6</v>
      </c>
      <c r="H17" s="18">
        <v>5</v>
      </c>
    </row>
    <row r="18" spans="1:8" x14ac:dyDescent="0.25">
      <c r="A18" s="6">
        <v>15</v>
      </c>
      <c r="B18" s="5" t="s">
        <v>83</v>
      </c>
      <c r="C18" s="5" t="s">
        <v>57</v>
      </c>
      <c r="D18" s="5" t="s">
        <v>84</v>
      </c>
      <c r="E18" s="5" t="s">
        <v>85</v>
      </c>
      <c r="F18" s="5" t="s">
        <v>86</v>
      </c>
      <c r="G18" s="6" t="s">
        <v>6</v>
      </c>
      <c r="H18" s="18">
        <v>8</v>
      </c>
    </row>
    <row r="19" spans="1:8" x14ac:dyDescent="0.25">
      <c r="A19" s="6">
        <v>16</v>
      </c>
      <c r="B19" s="5" t="s">
        <v>87</v>
      </c>
      <c r="C19" s="5" t="s">
        <v>57</v>
      </c>
      <c r="D19" s="5" t="s">
        <v>84</v>
      </c>
      <c r="E19" s="5" t="s">
        <v>88</v>
      </c>
      <c r="F19" s="5" t="s">
        <v>89</v>
      </c>
      <c r="G19" s="6" t="s">
        <v>6</v>
      </c>
      <c r="H19" s="18">
        <v>5</v>
      </c>
    </row>
    <row r="20" spans="1:8" x14ac:dyDescent="0.25">
      <c r="A20" s="6">
        <v>17</v>
      </c>
      <c r="B20" s="5" t="s">
        <v>90</v>
      </c>
      <c r="C20" s="5" t="s">
        <v>57</v>
      </c>
      <c r="D20" s="5" t="s">
        <v>84</v>
      </c>
      <c r="E20" s="5" t="s">
        <v>91</v>
      </c>
      <c r="F20" s="5" t="s">
        <v>92</v>
      </c>
      <c r="G20" s="6" t="s">
        <v>6</v>
      </c>
      <c r="H20" s="18">
        <v>6</v>
      </c>
    </row>
    <row r="21" spans="1:8" x14ac:dyDescent="0.25">
      <c r="A21" s="6">
        <v>18</v>
      </c>
      <c r="B21" s="5" t="s">
        <v>93</v>
      </c>
      <c r="C21" s="5" t="s">
        <v>57</v>
      </c>
      <c r="D21" s="5" t="s">
        <v>84</v>
      </c>
      <c r="E21" s="5" t="s">
        <v>94</v>
      </c>
      <c r="F21" s="5" t="s">
        <v>95</v>
      </c>
      <c r="G21" s="6" t="s">
        <v>6</v>
      </c>
      <c r="H21" s="18">
        <v>8</v>
      </c>
    </row>
    <row r="22" spans="1:8" x14ac:dyDescent="0.25">
      <c r="A22" s="6">
        <v>19</v>
      </c>
      <c r="B22" s="5" t="s">
        <v>96</v>
      </c>
      <c r="C22" s="5" t="s">
        <v>57</v>
      </c>
      <c r="D22" s="5" t="s">
        <v>84</v>
      </c>
      <c r="E22" s="5" t="s">
        <v>97</v>
      </c>
      <c r="F22" s="5" t="s">
        <v>98</v>
      </c>
      <c r="G22" s="6" t="s">
        <v>6</v>
      </c>
      <c r="H22" s="18">
        <v>5</v>
      </c>
    </row>
    <row r="23" spans="1:8" x14ac:dyDescent="0.25">
      <c r="A23" s="6">
        <v>20</v>
      </c>
      <c r="B23" s="5" t="s">
        <v>99</v>
      </c>
      <c r="C23" s="5" t="s">
        <v>57</v>
      </c>
      <c r="D23" s="5" t="s">
        <v>100</v>
      </c>
      <c r="E23" s="5" t="s">
        <v>101</v>
      </c>
      <c r="F23" s="5" t="s">
        <v>102</v>
      </c>
      <c r="G23" s="6" t="s">
        <v>6</v>
      </c>
      <c r="H23" s="18">
        <v>20</v>
      </c>
    </row>
    <row r="24" spans="1:8" x14ac:dyDescent="0.25">
      <c r="A24" s="6">
        <v>21</v>
      </c>
      <c r="B24" s="5" t="s">
        <v>103</v>
      </c>
      <c r="C24" s="5" t="s">
        <v>57</v>
      </c>
      <c r="D24" s="5" t="s">
        <v>100</v>
      </c>
      <c r="E24" s="5" t="s">
        <v>104</v>
      </c>
      <c r="F24" s="5" t="s">
        <v>102</v>
      </c>
      <c r="G24" s="6" t="s">
        <v>6</v>
      </c>
      <c r="H24" s="18">
        <v>10</v>
      </c>
    </row>
    <row r="25" spans="1:8" x14ac:dyDescent="0.25">
      <c r="A25" s="6">
        <v>22</v>
      </c>
      <c r="B25" s="5" t="s">
        <v>103</v>
      </c>
      <c r="C25" s="5" t="s">
        <v>57</v>
      </c>
      <c r="D25" s="5" t="s">
        <v>100</v>
      </c>
      <c r="E25" s="5" t="s">
        <v>105</v>
      </c>
      <c r="F25" s="5" t="s">
        <v>102</v>
      </c>
      <c r="G25" s="6" t="s">
        <v>6</v>
      </c>
      <c r="H25" s="18">
        <v>5</v>
      </c>
    </row>
    <row r="26" spans="1:8" x14ac:dyDescent="0.25">
      <c r="A26" s="6">
        <v>23</v>
      </c>
      <c r="B26" s="5" t="s">
        <v>103</v>
      </c>
      <c r="C26" s="5" t="s">
        <v>57</v>
      </c>
      <c r="D26" s="5" t="s">
        <v>100</v>
      </c>
      <c r="E26" s="5" t="s">
        <v>106</v>
      </c>
      <c r="F26" s="5" t="s">
        <v>102</v>
      </c>
      <c r="G26" s="6" t="s">
        <v>6</v>
      </c>
      <c r="H26" s="18">
        <v>5</v>
      </c>
    </row>
    <row r="27" spans="1:8" x14ac:dyDescent="0.25">
      <c r="A27" s="6">
        <v>24</v>
      </c>
      <c r="B27" s="5" t="s">
        <v>103</v>
      </c>
      <c r="C27" s="5" t="s">
        <v>57</v>
      </c>
      <c r="D27" s="5" t="s">
        <v>100</v>
      </c>
      <c r="E27" s="5" t="s">
        <v>107</v>
      </c>
      <c r="F27" s="5" t="s">
        <v>102</v>
      </c>
      <c r="G27" s="6" t="s">
        <v>6</v>
      </c>
      <c r="H27" s="18">
        <v>5</v>
      </c>
    </row>
    <row r="28" spans="1:8" x14ac:dyDescent="0.25">
      <c r="A28" s="6">
        <v>25</v>
      </c>
      <c r="B28" s="5" t="s">
        <v>108</v>
      </c>
      <c r="C28" s="5" t="s">
        <v>57</v>
      </c>
      <c r="D28" s="5" t="s">
        <v>100</v>
      </c>
      <c r="E28" s="5" t="s">
        <v>109</v>
      </c>
      <c r="F28" s="5" t="s">
        <v>110</v>
      </c>
      <c r="G28" s="6" t="s">
        <v>6</v>
      </c>
      <c r="H28" s="18">
        <v>7</v>
      </c>
    </row>
    <row r="29" spans="1:8" x14ac:dyDescent="0.25">
      <c r="A29" s="6">
        <v>26</v>
      </c>
      <c r="B29" s="5" t="s">
        <v>111</v>
      </c>
      <c r="C29" s="5" t="s">
        <v>57</v>
      </c>
      <c r="D29" s="5" t="s">
        <v>100</v>
      </c>
      <c r="E29" s="5" t="s">
        <v>112</v>
      </c>
      <c r="F29" s="5" t="s">
        <v>113</v>
      </c>
      <c r="G29" s="6" t="s">
        <v>6</v>
      </c>
      <c r="H29" s="18">
        <v>8</v>
      </c>
    </row>
    <row r="30" spans="1:8" x14ac:dyDescent="0.25">
      <c r="A30" s="6">
        <v>27</v>
      </c>
      <c r="B30" s="5" t="s">
        <v>114</v>
      </c>
      <c r="C30" s="5" t="s">
        <v>57</v>
      </c>
      <c r="D30" s="5" t="s">
        <v>100</v>
      </c>
      <c r="E30" s="5" t="s">
        <v>115</v>
      </c>
      <c r="F30" s="5" t="s">
        <v>116</v>
      </c>
      <c r="G30" s="6" t="s">
        <v>6</v>
      </c>
      <c r="H30" s="18">
        <v>10</v>
      </c>
    </row>
    <row r="31" spans="1:8" x14ac:dyDescent="0.25">
      <c r="A31" s="6">
        <v>28</v>
      </c>
      <c r="B31" s="5" t="s">
        <v>117</v>
      </c>
      <c r="C31" s="5" t="s">
        <v>57</v>
      </c>
      <c r="D31" s="5" t="s">
        <v>100</v>
      </c>
      <c r="E31" s="5" t="s">
        <v>118</v>
      </c>
      <c r="F31" s="5" t="s">
        <v>119</v>
      </c>
      <c r="G31" s="6" t="s">
        <v>6</v>
      </c>
      <c r="H31" s="18">
        <v>5</v>
      </c>
    </row>
    <row r="32" spans="1:8" x14ac:dyDescent="0.25">
      <c r="A32" s="6">
        <v>29</v>
      </c>
      <c r="B32" s="5" t="s">
        <v>120</v>
      </c>
      <c r="C32" s="5" t="s">
        <v>57</v>
      </c>
      <c r="D32" s="5" t="s">
        <v>100</v>
      </c>
      <c r="E32" s="5" t="s">
        <v>121</v>
      </c>
      <c r="F32" s="5" t="s">
        <v>122</v>
      </c>
      <c r="G32" s="6" t="s">
        <v>6</v>
      </c>
      <c r="H32" s="18">
        <v>6</v>
      </c>
    </row>
    <row r="33" spans="1:8" x14ac:dyDescent="0.25">
      <c r="A33" s="6">
        <v>30</v>
      </c>
      <c r="B33" s="5" t="s">
        <v>123</v>
      </c>
      <c r="C33" s="5" t="s">
        <v>57</v>
      </c>
      <c r="D33" s="5" t="s">
        <v>100</v>
      </c>
      <c r="E33" s="5" t="s">
        <v>124</v>
      </c>
      <c r="F33" s="5" t="s">
        <v>110</v>
      </c>
      <c r="G33" s="6" t="s">
        <v>6</v>
      </c>
      <c r="H33" s="18">
        <v>5</v>
      </c>
    </row>
    <row r="34" spans="1:8" x14ac:dyDescent="0.25">
      <c r="A34" s="6">
        <v>31</v>
      </c>
      <c r="B34" s="5" t="s">
        <v>125</v>
      </c>
      <c r="C34" s="5" t="s">
        <v>57</v>
      </c>
      <c r="D34" s="5" t="s">
        <v>100</v>
      </c>
      <c r="E34" s="5" t="s">
        <v>126</v>
      </c>
      <c r="F34" s="5" t="s">
        <v>127</v>
      </c>
      <c r="G34" s="6" t="s">
        <v>6</v>
      </c>
      <c r="H34" s="18">
        <v>5</v>
      </c>
    </row>
    <row r="35" spans="1:8" x14ac:dyDescent="0.25">
      <c r="A35" s="6">
        <v>32</v>
      </c>
      <c r="B35" s="5" t="s">
        <v>128</v>
      </c>
      <c r="C35" s="5" t="s">
        <v>57</v>
      </c>
      <c r="D35" s="5" t="s">
        <v>129</v>
      </c>
      <c r="E35" s="5" t="s">
        <v>130</v>
      </c>
      <c r="F35" s="5" t="s">
        <v>131</v>
      </c>
      <c r="G35" s="6" t="s">
        <v>6</v>
      </c>
      <c r="H35" s="18">
        <v>7</v>
      </c>
    </row>
    <row r="36" spans="1:8" x14ac:dyDescent="0.25">
      <c r="A36" s="6">
        <v>33</v>
      </c>
      <c r="B36" s="5" t="s">
        <v>132</v>
      </c>
      <c r="C36" s="5" t="s">
        <v>57</v>
      </c>
      <c r="D36" s="5" t="s">
        <v>129</v>
      </c>
      <c r="E36" s="5" t="s">
        <v>133</v>
      </c>
      <c r="F36" s="5" t="s">
        <v>134</v>
      </c>
      <c r="G36" s="6" t="s">
        <v>6</v>
      </c>
      <c r="H36" s="18">
        <v>8</v>
      </c>
    </row>
    <row r="37" spans="1:8" x14ac:dyDescent="0.25">
      <c r="A37" s="6">
        <v>34</v>
      </c>
      <c r="B37" s="5" t="s">
        <v>132</v>
      </c>
      <c r="C37" s="5" t="s">
        <v>57</v>
      </c>
      <c r="D37" s="5" t="s">
        <v>129</v>
      </c>
      <c r="E37" s="5" t="s">
        <v>135</v>
      </c>
      <c r="F37" s="5" t="s">
        <v>134</v>
      </c>
      <c r="G37" s="6" t="s">
        <v>6</v>
      </c>
      <c r="H37" s="18">
        <v>6</v>
      </c>
    </row>
    <row r="38" spans="1:8" x14ac:dyDescent="0.25">
      <c r="A38" s="6">
        <v>35</v>
      </c>
      <c r="B38" s="5" t="s">
        <v>132</v>
      </c>
      <c r="C38" s="5" t="s">
        <v>57</v>
      </c>
      <c r="D38" s="5" t="s">
        <v>129</v>
      </c>
      <c r="E38" s="5" t="s">
        <v>136</v>
      </c>
      <c r="F38" s="5" t="s">
        <v>134</v>
      </c>
      <c r="G38" s="6" t="s">
        <v>6</v>
      </c>
      <c r="H38" s="18">
        <v>5</v>
      </c>
    </row>
    <row r="39" spans="1:8" x14ac:dyDescent="0.25">
      <c r="A39" s="6">
        <v>36</v>
      </c>
      <c r="B39" s="5" t="s">
        <v>137</v>
      </c>
      <c r="C39" s="5" t="s">
        <v>57</v>
      </c>
      <c r="D39" s="5" t="s">
        <v>129</v>
      </c>
      <c r="E39" s="5" t="s">
        <v>138</v>
      </c>
      <c r="F39" s="5" t="s">
        <v>139</v>
      </c>
      <c r="G39" s="6" t="s">
        <v>6</v>
      </c>
      <c r="H39" s="18">
        <v>7</v>
      </c>
    </row>
    <row r="40" spans="1:8" x14ac:dyDescent="0.25">
      <c r="A40" s="6">
        <v>37</v>
      </c>
      <c r="B40" s="5" t="s">
        <v>137</v>
      </c>
      <c r="C40" s="5" t="s">
        <v>57</v>
      </c>
      <c r="D40" s="5" t="s">
        <v>129</v>
      </c>
      <c r="E40" s="5" t="s">
        <v>140</v>
      </c>
      <c r="F40" s="5" t="s">
        <v>139</v>
      </c>
      <c r="G40" s="6" t="s">
        <v>6</v>
      </c>
      <c r="H40" s="18">
        <v>5</v>
      </c>
    </row>
    <row r="41" spans="1:8" x14ac:dyDescent="0.25">
      <c r="A41" s="6">
        <v>38</v>
      </c>
      <c r="B41" s="5" t="s">
        <v>137</v>
      </c>
      <c r="C41" s="5" t="s">
        <v>57</v>
      </c>
      <c r="D41" s="5" t="s">
        <v>129</v>
      </c>
      <c r="E41" s="5" t="s">
        <v>141</v>
      </c>
      <c r="F41" s="5" t="s">
        <v>139</v>
      </c>
      <c r="G41" s="6" t="s">
        <v>6</v>
      </c>
      <c r="H41" s="18">
        <v>9</v>
      </c>
    </row>
    <row r="42" spans="1:8" x14ac:dyDescent="0.25">
      <c r="A42" s="6">
        <v>39</v>
      </c>
      <c r="B42" s="5" t="s">
        <v>137</v>
      </c>
      <c r="C42" s="5" t="s">
        <v>57</v>
      </c>
      <c r="D42" s="5" t="s">
        <v>129</v>
      </c>
      <c r="E42" s="5" t="s">
        <v>142</v>
      </c>
      <c r="F42" s="5" t="s">
        <v>139</v>
      </c>
      <c r="G42" s="6" t="s">
        <v>6</v>
      </c>
      <c r="H42" s="18">
        <v>8</v>
      </c>
    </row>
    <row r="43" spans="1:8" x14ac:dyDescent="0.25">
      <c r="A43" s="6">
        <v>40</v>
      </c>
      <c r="B43" s="5" t="s">
        <v>137</v>
      </c>
      <c r="C43" s="5" t="s">
        <v>57</v>
      </c>
      <c r="D43" s="5" t="s">
        <v>129</v>
      </c>
      <c r="E43" s="5" t="s">
        <v>143</v>
      </c>
      <c r="F43" s="5" t="s">
        <v>139</v>
      </c>
      <c r="G43" s="6" t="s">
        <v>6</v>
      </c>
      <c r="H43" s="18">
        <v>5</v>
      </c>
    </row>
    <row r="44" spans="1:8" x14ac:dyDescent="0.25">
      <c r="A44" s="6">
        <v>41</v>
      </c>
      <c r="B44" s="5" t="s">
        <v>144</v>
      </c>
      <c r="C44" s="5" t="s">
        <v>57</v>
      </c>
      <c r="D44" s="5" t="s">
        <v>129</v>
      </c>
      <c r="E44" s="5" t="s">
        <v>101</v>
      </c>
      <c r="F44" s="5" t="s">
        <v>102</v>
      </c>
      <c r="G44" s="6" t="s">
        <v>6</v>
      </c>
      <c r="H44" s="18">
        <v>4</v>
      </c>
    </row>
    <row r="45" spans="1:8" x14ac:dyDescent="0.25">
      <c r="A45" s="6">
        <v>42</v>
      </c>
      <c r="B45" s="5" t="s">
        <v>145</v>
      </c>
      <c r="C45" s="5" t="s">
        <v>57</v>
      </c>
      <c r="D45" s="5" t="s">
        <v>129</v>
      </c>
      <c r="E45" s="5" t="s">
        <v>146</v>
      </c>
      <c r="F45" s="5" t="s">
        <v>102</v>
      </c>
      <c r="G45" s="6" t="s">
        <v>6</v>
      </c>
      <c r="H45" s="18">
        <v>6</v>
      </c>
    </row>
    <row r="46" spans="1:8" x14ac:dyDescent="0.25">
      <c r="A46" s="6">
        <v>43</v>
      </c>
      <c r="B46" s="5" t="s">
        <v>147</v>
      </c>
      <c r="C46" s="5" t="s">
        <v>57</v>
      </c>
      <c r="D46" s="5" t="s">
        <v>129</v>
      </c>
      <c r="E46" s="5" t="s">
        <v>148</v>
      </c>
      <c r="F46" s="5" t="s">
        <v>92</v>
      </c>
      <c r="G46" s="6" t="s">
        <v>6</v>
      </c>
      <c r="H46" s="18">
        <v>5</v>
      </c>
    </row>
    <row r="47" spans="1:8" x14ac:dyDescent="0.25">
      <c r="A47" s="6">
        <v>44</v>
      </c>
      <c r="B47" s="5" t="s">
        <v>149</v>
      </c>
      <c r="C47" s="5" t="s">
        <v>57</v>
      </c>
      <c r="D47" s="5" t="s">
        <v>150</v>
      </c>
      <c r="E47" s="5" t="s">
        <v>151</v>
      </c>
      <c r="F47" s="5" t="s">
        <v>102</v>
      </c>
      <c r="G47" s="6" t="s">
        <v>6</v>
      </c>
      <c r="H47" s="18">
        <v>7</v>
      </c>
    </row>
    <row r="48" spans="1:8" x14ac:dyDescent="0.25">
      <c r="A48" s="6">
        <v>45</v>
      </c>
      <c r="B48" s="5" t="s">
        <v>152</v>
      </c>
      <c r="C48" s="5" t="s">
        <v>57</v>
      </c>
      <c r="D48" s="5" t="s">
        <v>150</v>
      </c>
      <c r="E48" s="5" t="s">
        <v>153</v>
      </c>
      <c r="F48" s="5" t="s">
        <v>154</v>
      </c>
      <c r="G48" s="6" t="s">
        <v>6</v>
      </c>
      <c r="H48" s="18">
        <v>6</v>
      </c>
    </row>
    <row r="49" spans="1:8" x14ac:dyDescent="0.25">
      <c r="A49" s="6">
        <v>46</v>
      </c>
      <c r="B49" s="5" t="s">
        <v>155</v>
      </c>
      <c r="C49" s="5" t="s">
        <v>57</v>
      </c>
      <c r="D49" s="5" t="s">
        <v>150</v>
      </c>
      <c r="E49" s="5" t="s">
        <v>156</v>
      </c>
      <c r="F49" s="5" t="s">
        <v>157</v>
      </c>
      <c r="G49" s="6" t="s">
        <v>6</v>
      </c>
      <c r="H49" s="18">
        <v>8</v>
      </c>
    </row>
    <row r="50" spans="1:8" x14ac:dyDescent="0.25">
      <c r="A50" s="6">
        <v>47</v>
      </c>
      <c r="B50" s="5" t="s">
        <v>158</v>
      </c>
      <c r="C50" s="5" t="s">
        <v>57</v>
      </c>
      <c r="D50" s="5" t="s">
        <v>150</v>
      </c>
      <c r="E50" s="5" t="s">
        <v>159</v>
      </c>
      <c r="F50" s="5" t="s">
        <v>102</v>
      </c>
      <c r="G50" s="6" t="s">
        <v>6</v>
      </c>
      <c r="H50" s="18">
        <v>6</v>
      </c>
    </row>
    <row r="51" spans="1:8" x14ac:dyDescent="0.25">
      <c r="A51" s="6">
        <v>48</v>
      </c>
      <c r="B51" s="5" t="s">
        <v>160</v>
      </c>
      <c r="C51" s="5" t="s">
        <v>57</v>
      </c>
      <c r="D51" s="5" t="s">
        <v>150</v>
      </c>
      <c r="E51" s="5" t="s">
        <v>161</v>
      </c>
      <c r="F51" s="5" t="s">
        <v>102</v>
      </c>
      <c r="G51" s="6" t="s">
        <v>6</v>
      </c>
      <c r="H51" s="18">
        <v>5</v>
      </c>
    </row>
    <row r="52" spans="1:8" x14ac:dyDescent="0.25">
      <c r="A52" s="6">
        <v>49</v>
      </c>
      <c r="B52" s="5" t="s">
        <v>162</v>
      </c>
      <c r="C52" s="5" t="s">
        <v>57</v>
      </c>
      <c r="D52" s="5" t="s">
        <v>150</v>
      </c>
      <c r="E52" s="5" t="s">
        <v>163</v>
      </c>
      <c r="F52" s="5" t="s">
        <v>92</v>
      </c>
      <c r="G52" s="6" t="s">
        <v>6</v>
      </c>
      <c r="H52" s="18">
        <v>6</v>
      </c>
    </row>
    <row r="53" spans="1:8" x14ac:dyDescent="0.25">
      <c r="A53" s="6">
        <v>50</v>
      </c>
      <c r="B53" s="5" t="s">
        <v>164</v>
      </c>
      <c r="C53" s="5" t="s">
        <v>57</v>
      </c>
      <c r="D53" s="5" t="s">
        <v>150</v>
      </c>
      <c r="E53" s="5" t="s">
        <v>165</v>
      </c>
      <c r="F53" s="5" t="s">
        <v>157</v>
      </c>
      <c r="G53" s="6" t="s">
        <v>6</v>
      </c>
      <c r="H53" s="18">
        <v>6</v>
      </c>
    </row>
    <row r="54" spans="1:8" x14ac:dyDescent="0.25">
      <c r="A54" s="6">
        <v>51</v>
      </c>
      <c r="B54" s="5" t="s">
        <v>166</v>
      </c>
      <c r="C54" s="5" t="s">
        <v>57</v>
      </c>
      <c r="D54" s="5" t="s">
        <v>150</v>
      </c>
      <c r="E54" s="5" t="s">
        <v>167</v>
      </c>
      <c r="F54" s="5" t="s">
        <v>92</v>
      </c>
      <c r="G54" s="6" t="s">
        <v>6</v>
      </c>
      <c r="H54" s="18">
        <v>4</v>
      </c>
    </row>
    <row r="55" spans="1:8" x14ac:dyDescent="0.25">
      <c r="A55" s="6">
        <v>52</v>
      </c>
      <c r="B55" s="5" t="s">
        <v>168</v>
      </c>
      <c r="C55" s="5" t="s">
        <v>57</v>
      </c>
      <c r="D55" s="5" t="s">
        <v>150</v>
      </c>
      <c r="E55" s="5" t="s">
        <v>169</v>
      </c>
      <c r="F55" s="5" t="s">
        <v>102</v>
      </c>
      <c r="G55" s="6" t="s">
        <v>6</v>
      </c>
      <c r="H55" s="18">
        <v>4</v>
      </c>
    </row>
    <row r="56" spans="1:8" x14ac:dyDescent="0.25">
      <c r="A56" s="6">
        <v>53</v>
      </c>
      <c r="B56" s="5" t="s">
        <v>170</v>
      </c>
      <c r="C56" s="5" t="s">
        <v>171</v>
      </c>
      <c r="D56" s="5" t="s">
        <v>172</v>
      </c>
      <c r="E56" s="5" t="s">
        <v>173</v>
      </c>
      <c r="F56" s="5" t="s">
        <v>174</v>
      </c>
      <c r="G56" s="6" t="s">
        <v>6</v>
      </c>
      <c r="H56" s="18">
        <v>127</v>
      </c>
    </row>
    <row r="57" spans="1:8" x14ac:dyDescent="0.25">
      <c r="A57" s="6">
        <v>54</v>
      </c>
      <c r="B57" s="5" t="s">
        <v>175</v>
      </c>
      <c r="C57" s="5" t="s">
        <v>171</v>
      </c>
      <c r="D57" s="5" t="s">
        <v>172</v>
      </c>
      <c r="E57" s="5" t="s">
        <v>176</v>
      </c>
      <c r="F57" s="5" t="s">
        <v>60</v>
      </c>
      <c r="G57" s="6" t="s">
        <v>6</v>
      </c>
      <c r="H57" s="18">
        <v>9</v>
      </c>
    </row>
    <row r="58" spans="1:8" x14ac:dyDescent="0.25">
      <c r="A58" s="6">
        <v>55</v>
      </c>
      <c r="B58" s="5" t="s">
        <v>177</v>
      </c>
      <c r="C58" s="5" t="s">
        <v>171</v>
      </c>
      <c r="D58" s="5" t="s">
        <v>172</v>
      </c>
      <c r="E58" s="5" t="s">
        <v>178</v>
      </c>
      <c r="F58" s="5" t="s">
        <v>179</v>
      </c>
      <c r="G58" s="6" t="s">
        <v>6</v>
      </c>
      <c r="H58" s="18">
        <v>6</v>
      </c>
    </row>
    <row r="59" spans="1:8" x14ac:dyDescent="0.25">
      <c r="A59" s="6">
        <v>56</v>
      </c>
      <c r="B59" s="5" t="s">
        <v>180</v>
      </c>
      <c r="C59" s="5" t="s">
        <v>171</v>
      </c>
      <c r="D59" s="5" t="s">
        <v>172</v>
      </c>
      <c r="E59" s="5" t="s">
        <v>181</v>
      </c>
      <c r="F59" s="5" t="s">
        <v>102</v>
      </c>
      <c r="G59" s="6" t="s">
        <v>6</v>
      </c>
      <c r="H59" s="18">
        <v>18</v>
      </c>
    </row>
    <row r="60" spans="1:8" x14ac:dyDescent="0.25">
      <c r="A60" s="6">
        <v>57</v>
      </c>
      <c r="B60" s="5" t="s">
        <v>182</v>
      </c>
      <c r="C60" s="5" t="s">
        <v>171</v>
      </c>
      <c r="D60" s="5" t="s">
        <v>172</v>
      </c>
      <c r="E60" s="5" t="s">
        <v>183</v>
      </c>
      <c r="F60" s="5" t="s">
        <v>102</v>
      </c>
      <c r="G60" s="6" t="s">
        <v>6</v>
      </c>
      <c r="H60" s="18">
        <v>18</v>
      </c>
    </row>
    <row r="61" spans="1:8" x14ac:dyDescent="0.25">
      <c r="A61" s="6">
        <v>58</v>
      </c>
      <c r="B61" s="5" t="s">
        <v>184</v>
      </c>
      <c r="C61" s="5" t="s">
        <v>171</v>
      </c>
      <c r="D61" s="5" t="s">
        <v>172</v>
      </c>
      <c r="E61" s="5" t="s">
        <v>185</v>
      </c>
      <c r="F61" s="5" t="s">
        <v>102</v>
      </c>
      <c r="G61" s="6" t="s">
        <v>6</v>
      </c>
      <c r="H61" s="18">
        <v>9</v>
      </c>
    </row>
    <row r="62" spans="1:8" x14ac:dyDescent="0.25">
      <c r="A62" s="6">
        <v>59</v>
      </c>
      <c r="B62" s="5" t="s">
        <v>186</v>
      </c>
      <c r="C62" s="5" t="s">
        <v>171</v>
      </c>
      <c r="D62" s="5" t="s">
        <v>172</v>
      </c>
      <c r="E62" s="5" t="s">
        <v>187</v>
      </c>
      <c r="F62" s="5" t="s">
        <v>82</v>
      </c>
      <c r="G62" s="6" t="s">
        <v>6</v>
      </c>
      <c r="H62" s="18">
        <v>6</v>
      </c>
    </row>
    <row r="63" spans="1:8" x14ac:dyDescent="0.25">
      <c r="A63" s="6">
        <v>60</v>
      </c>
      <c r="B63" s="5" t="s">
        <v>188</v>
      </c>
      <c r="C63" s="5" t="s">
        <v>171</v>
      </c>
      <c r="D63" s="5" t="s">
        <v>189</v>
      </c>
      <c r="E63" s="5" t="s">
        <v>190</v>
      </c>
      <c r="F63" s="5" t="s">
        <v>191</v>
      </c>
      <c r="G63" s="6" t="s">
        <v>6</v>
      </c>
      <c r="H63" s="18">
        <v>7</v>
      </c>
    </row>
    <row r="64" spans="1:8" x14ac:dyDescent="0.25">
      <c r="A64" s="6">
        <v>61</v>
      </c>
      <c r="B64" s="5" t="s">
        <v>192</v>
      </c>
      <c r="C64" s="5" t="s">
        <v>171</v>
      </c>
      <c r="D64" s="5" t="s">
        <v>189</v>
      </c>
      <c r="E64" s="5" t="s">
        <v>193</v>
      </c>
      <c r="F64" s="5" t="s">
        <v>60</v>
      </c>
      <c r="G64" s="6" t="s">
        <v>6</v>
      </c>
      <c r="H64" s="18">
        <v>17</v>
      </c>
    </row>
    <row r="65" spans="1:8" x14ac:dyDescent="0.25">
      <c r="A65" s="6">
        <v>62</v>
      </c>
      <c r="B65" s="5" t="s">
        <v>194</v>
      </c>
      <c r="C65" s="5" t="s">
        <v>171</v>
      </c>
      <c r="D65" s="5" t="s">
        <v>189</v>
      </c>
      <c r="E65" s="5" t="s">
        <v>195</v>
      </c>
      <c r="F65" s="5" t="s">
        <v>92</v>
      </c>
      <c r="G65" s="6" t="s">
        <v>6</v>
      </c>
      <c r="H65" s="18">
        <v>6</v>
      </c>
    </row>
    <row r="66" spans="1:8" x14ac:dyDescent="0.25">
      <c r="A66" s="6">
        <v>63</v>
      </c>
      <c r="B66" s="5" t="s">
        <v>196</v>
      </c>
      <c r="C66" s="5" t="s">
        <v>171</v>
      </c>
      <c r="D66" s="5" t="s">
        <v>197</v>
      </c>
      <c r="E66" s="5" t="s">
        <v>198</v>
      </c>
      <c r="F66" s="5" t="s">
        <v>199</v>
      </c>
      <c r="G66" s="6" t="s">
        <v>6</v>
      </c>
      <c r="H66" s="18">
        <v>6</v>
      </c>
    </row>
    <row r="67" spans="1:8" x14ac:dyDescent="0.25">
      <c r="A67" s="6">
        <v>64</v>
      </c>
      <c r="B67" s="5" t="s">
        <v>200</v>
      </c>
      <c r="C67" s="5" t="s">
        <v>171</v>
      </c>
      <c r="D67" s="5" t="s">
        <v>197</v>
      </c>
      <c r="E67" s="5" t="s">
        <v>201</v>
      </c>
      <c r="F67" s="5" t="s">
        <v>102</v>
      </c>
      <c r="G67" s="6" t="s">
        <v>6</v>
      </c>
      <c r="H67" s="18">
        <v>5</v>
      </c>
    </row>
    <row r="68" spans="1:8" x14ac:dyDescent="0.25">
      <c r="A68" s="6">
        <v>65</v>
      </c>
      <c r="B68" s="5" t="s">
        <v>202</v>
      </c>
      <c r="C68" s="5" t="s">
        <v>171</v>
      </c>
      <c r="D68" s="5" t="s">
        <v>197</v>
      </c>
      <c r="E68" s="5" t="s">
        <v>203</v>
      </c>
      <c r="F68" s="5" t="s">
        <v>102</v>
      </c>
      <c r="G68" s="6" t="s">
        <v>6</v>
      </c>
      <c r="H68" s="18">
        <v>5</v>
      </c>
    </row>
    <row r="69" spans="1:8" x14ac:dyDescent="0.25">
      <c r="A69" s="6">
        <v>66</v>
      </c>
      <c r="B69" s="5" t="s">
        <v>204</v>
      </c>
      <c r="C69" s="5" t="s">
        <v>171</v>
      </c>
      <c r="D69" s="5" t="s">
        <v>197</v>
      </c>
      <c r="E69" s="5" t="s">
        <v>205</v>
      </c>
      <c r="F69" s="5" t="s">
        <v>102</v>
      </c>
      <c r="G69" s="6" t="s">
        <v>6</v>
      </c>
      <c r="H69" s="18">
        <v>5</v>
      </c>
    </row>
    <row r="70" spans="1:8" x14ac:dyDescent="0.25">
      <c r="A70" s="6">
        <v>67</v>
      </c>
      <c r="B70" s="5" t="s">
        <v>206</v>
      </c>
      <c r="C70" s="5" t="s">
        <v>171</v>
      </c>
      <c r="D70" s="5" t="s">
        <v>197</v>
      </c>
      <c r="E70" s="5" t="s">
        <v>193</v>
      </c>
      <c r="F70" s="5" t="s">
        <v>60</v>
      </c>
      <c r="G70" s="6" t="s">
        <v>6</v>
      </c>
      <c r="H70" s="18">
        <v>11</v>
      </c>
    </row>
    <row r="71" spans="1:8" x14ac:dyDescent="0.25">
      <c r="A71" s="6">
        <v>68</v>
      </c>
      <c r="B71" s="5" t="s">
        <v>207</v>
      </c>
      <c r="C71" s="5" t="s">
        <v>171</v>
      </c>
      <c r="D71" s="5" t="s">
        <v>208</v>
      </c>
      <c r="E71" s="5" t="s">
        <v>209</v>
      </c>
      <c r="F71" s="5" t="s">
        <v>210</v>
      </c>
      <c r="G71" s="6" t="s">
        <v>6</v>
      </c>
      <c r="H71" s="18">
        <v>166</v>
      </c>
    </row>
    <row r="72" spans="1:8" x14ac:dyDescent="0.25">
      <c r="A72" s="6">
        <v>69</v>
      </c>
      <c r="B72" s="5" t="s">
        <v>211</v>
      </c>
      <c r="C72" s="5" t="s">
        <v>171</v>
      </c>
      <c r="D72" s="5" t="s">
        <v>208</v>
      </c>
      <c r="E72" s="5" t="s">
        <v>212</v>
      </c>
      <c r="F72" s="5" t="s">
        <v>213</v>
      </c>
      <c r="G72" s="6" t="s">
        <v>6</v>
      </c>
      <c r="H72" s="18">
        <v>9</v>
      </c>
    </row>
    <row r="73" spans="1:8" x14ac:dyDescent="0.25">
      <c r="A73" s="6">
        <v>70</v>
      </c>
      <c r="B73" s="5" t="s">
        <v>214</v>
      </c>
      <c r="C73" s="5" t="s">
        <v>171</v>
      </c>
      <c r="D73" s="5" t="s">
        <v>208</v>
      </c>
      <c r="E73" s="5" t="s">
        <v>215</v>
      </c>
      <c r="F73" s="5" t="s">
        <v>102</v>
      </c>
      <c r="G73" s="6" t="s">
        <v>6</v>
      </c>
      <c r="H73" s="18">
        <v>6</v>
      </c>
    </row>
    <row r="74" spans="1:8" x14ac:dyDescent="0.25">
      <c r="A74" s="6">
        <v>71</v>
      </c>
      <c r="B74" s="5" t="s">
        <v>216</v>
      </c>
      <c r="C74" s="5" t="s">
        <v>217</v>
      </c>
      <c r="D74" s="5" t="s">
        <v>218</v>
      </c>
      <c r="E74" s="5" t="s">
        <v>183</v>
      </c>
      <c r="F74" s="5" t="s">
        <v>102</v>
      </c>
      <c r="G74" s="6" t="s">
        <v>6</v>
      </c>
      <c r="H74" s="18">
        <v>79</v>
      </c>
    </row>
    <row r="75" spans="1:8" x14ac:dyDescent="0.25">
      <c r="A75" s="6">
        <v>72</v>
      </c>
      <c r="B75" s="5" t="s">
        <v>219</v>
      </c>
      <c r="C75" s="5" t="s">
        <v>217</v>
      </c>
      <c r="D75" s="5" t="s">
        <v>218</v>
      </c>
      <c r="E75" s="5" t="s">
        <v>148</v>
      </c>
      <c r="F75" s="5" t="s">
        <v>92</v>
      </c>
      <c r="G75" s="6" t="s">
        <v>6</v>
      </c>
      <c r="H75" s="18">
        <v>16</v>
      </c>
    </row>
    <row r="76" spans="1:8" x14ac:dyDescent="0.25">
      <c r="A76" s="6">
        <v>73</v>
      </c>
      <c r="B76" s="5" t="s">
        <v>220</v>
      </c>
      <c r="C76" s="5" t="s">
        <v>217</v>
      </c>
      <c r="D76" s="5" t="s">
        <v>218</v>
      </c>
      <c r="E76" s="5" t="s">
        <v>221</v>
      </c>
      <c r="F76" s="5" t="s">
        <v>222</v>
      </c>
      <c r="G76" s="6" t="s">
        <v>6</v>
      </c>
      <c r="H76" s="18">
        <v>17</v>
      </c>
    </row>
    <row r="77" spans="1:8" x14ac:dyDescent="0.25">
      <c r="A77" s="6">
        <v>74</v>
      </c>
      <c r="B77" s="5" t="s">
        <v>223</v>
      </c>
      <c r="C77" s="5" t="s">
        <v>217</v>
      </c>
      <c r="D77" s="5" t="s">
        <v>218</v>
      </c>
      <c r="E77" s="5" t="s">
        <v>224</v>
      </c>
      <c r="F77" s="5" t="s">
        <v>225</v>
      </c>
      <c r="G77" s="6" t="s">
        <v>6</v>
      </c>
      <c r="H77" s="18">
        <v>10</v>
      </c>
    </row>
    <row r="78" spans="1:8" x14ac:dyDescent="0.25">
      <c r="A78" s="6">
        <v>75</v>
      </c>
      <c r="B78" s="5" t="s">
        <v>223</v>
      </c>
      <c r="C78" s="5" t="s">
        <v>217</v>
      </c>
      <c r="D78" s="5" t="s">
        <v>218</v>
      </c>
      <c r="E78" s="5" t="s">
        <v>226</v>
      </c>
      <c r="F78" s="5" t="s">
        <v>225</v>
      </c>
      <c r="G78" s="6" t="s">
        <v>6</v>
      </c>
      <c r="H78" s="18">
        <v>25</v>
      </c>
    </row>
    <row r="79" spans="1:8" x14ac:dyDescent="0.25">
      <c r="A79" s="6">
        <v>76</v>
      </c>
      <c r="B79" s="5" t="s">
        <v>223</v>
      </c>
      <c r="C79" s="5" t="s">
        <v>217</v>
      </c>
      <c r="D79" s="5" t="s">
        <v>218</v>
      </c>
      <c r="E79" s="5" t="s">
        <v>227</v>
      </c>
      <c r="F79" s="5" t="s">
        <v>225</v>
      </c>
      <c r="G79" s="6" t="s">
        <v>6</v>
      </c>
      <c r="H79" s="18">
        <v>31</v>
      </c>
    </row>
    <row r="80" spans="1:8" x14ac:dyDescent="0.25">
      <c r="A80" s="6">
        <v>77</v>
      </c>
      <c r="B80" s="5" t="s">
        <v>228</v>
      </c>
      <c r="C80" s="5" t="s">
        <v>217</v>
      </c>
      <c r="D80" s="5" t="s">
        <v>218</v>
      </c>
      <c r="E80" s="5" t="s">
        <v>229</v>
      </c>
      <c r="F80" s="5" t="s">
        <v>230</v>
      </c>
      <c r="G80" s="6" t="s">
        <v>6</v>
      </c>
      <c r="H80" s="18">
        <v>53</v>
      </c>
    </row>
    <row r="81" spans="1:8" x14ac:dyDescent="0.25">
      <c r="A81" s="6">
        <v>78</v>
      </c>
      <c r="B81" s="5" t="s">
        <v>231</v>
      </c>
      <c r="C81" s="5" t="s">
        <v>217</v>
      </c>
      <c r="D81" s="5" t="s">
        <v>218</v>
      </c>
      <c r="E81" s="5" t="s">
        <v>187</v>
      </c>
      <c r="F81" s="5" t="s">
        <v>82</v>
      </c>
      <c r="G81" s="6" t="s">
        <v>6</v>
      </c>
      <c r="H81" s="18">
        <v>47</v>
      </c>
    </row>
    <row r="82" spans="1:8" x14ac:dyDescent="0.25">
      <c r="A82" s="6">
        <v>79</v>
      </c>
      <c r="B82" s="5" t="s">
        <v>232</v>
      </c>
      <c r="C82" s="5" t="s">
        <v>217</v>
      </c>
      <c r="D82" s="5" t="s">
        <v>218</v>
      </c>
      <c r="E82" s="5" t="s">
        <v>233</v>
      </c>
      <c r="F82" s="5" t="s">
        <v>234</v>
      </c>
      <c r="G82" s="6" t="s">
        <v>6</v>
      </c>
      <c r="H82" s="18">
        <v>34</v>
      </c>
    </row>
    <row r="83" spans="1:8" x14ac:dyDescent="0.25">
      <c r="A83" s="6">
        <v>80</v>
      </c>
      <c r="B83" s="5" t="s">
        <v>235</v>
      </c>
      <c r="C83" s="5" t="s">
        <v>217</v>
      </c>
      <c r="D83" s="5" t="s">
        <v>218</v>
      </c>
      <c r="E83" s="5" t="s">
        <v>236</v>
      </c>
      <c r="F83" s="5" t="s">
        <v>79</v>
      </c>
      <c r="G83" s="6" t="s">
        <v>6</v>
      </c>
      <c r="H83" s="18">
        <v>18</v>
      </c>
    </row>
    <row r="84" spans="1:8" x14ac:dyDescent="0.25">
      <c r="A84" s="6">
        <v>81</v>
      </c>
      <c r="B84" s="5" t="s">
        <v>237</v>
      </c>
      <c r="C84" s="5" t="s">
        <v>238</v>
      </c>
      <c r="D84" s="5" t="s">
        <v>239</v>
      </c>
      <c r="E84" s="5" t="s">
        <v>240</v>
      </c>
      <c r="F84" s="5" t="s">
        <v>241</v>
      </c>
      <c r="G84" s="6" t="s">
        <v>6</v>
      </c>
      <c r="H84" s="18">
        <v>119</v>
      </c>
    </row>
    <row r="85" spans="1:8" x14ac:dyDescent="0.25">
      <c r="A85" s="6">
        <v>82</v>
      </c>
      <c r="B85" s="5" t="s">
        <v>242</v>
      </c>
      <c r="C85" s="5" t="s">
        <v>238</v>
      </c>
      <c r="D85" s="5" t="s">
        <v>239</v>
      </c>
      <c r="E85" s="5" t="s">
        <v>243</v>
      </c>
      <c r="F85" s="5" t="s">
        <v>244</v>
      </c>
      <c r="G85" s="6" t="s">
        <v>6</v>
      </c>
      <c r="H85" s="18">
        <v>13</v>
      </c>
    </row>
    <row r="86" spans="1:8" x14ac:dyDescent="0.25">
      <c r="A86" s="6">
        <v>83</v>
      </c>
      <c r="B86" s="5" t="s">
        <v>245</v>
      </c>
      <c r="C86" s="5" t="s">
        <v>238</v>
      </c>
      <c r="D86" s="5" t="s">
        <v>239</v>
      </c>
      <c r="E86" s="5" t="s">
        <v>246</v>
      </c>
      <c r="F86" s="5" t="s">
        <v>247</v>
      </c>
      <c r="G86" s="6" t="s">
        <v>6</v>
      </c>
      <c r="H86" s="18">
        <v>10</v>
      </c>
    </row>
    <row r="87" spans="1:8" x14ac:dyDescent="0.25">
      <c r="A87" s="6">
        <v>84</v>
      </c>
      <c r="B87" s="5" t="s">
        <v>248</v>
      </c>
      <c r="C87" s="5" t="s">
        <v>238</v>
      </c>
      <c r="D87" s="5" t="s">
        <v>239</v>
      </c>
      <c r="E87" s="5" t="s">
        <v>249</v>
      </c>
      <c r="F87" s="5" t="s">
        <v>250</v>
      </c>
      <c r="G87" s="6" t="s">
        <v>6</v>
      </c>
      <c r="H87" s="18">
        <v>12</v>
      </c>
    </row>
    <row r="88" spans="1:8" x14ac:dyDescent="0.25">
      <c r="A88" s="6">
        <v>85</v>
      </c>
      <c r="B88" s="5" t="s">
        <v>251</v>
      </c>
      <c r="C88" s="5" t="s">
        <v>238</v>
      </c>
      <c r="D88" s="5" t="s">
        <v>239</v>
      </c>
      <c r="E88" s="5" t="s">
        <v>252</v>
      </c>
      <c r="F88" s="5" t="s">
        <v>253</v>
      </c>
      <c r="G88" s="6" t="s">
        <v>6</v>
      </c>
      <c r="H88" s="18">
        <v>55</v>
      </c>
    </row>
    <row r="89" spans="1:8" x14ac:dyDescent="0.25">
      <c r="A89" s="6">
        <v>86</v>
      </c>
      <c r="B89" s="5" t="s">
        <v>254</v>
      </c>
      <c r="C89" s="5" t="s">
        <v>238</v>
      </c>
      <c r="D89" s="5" t="s">
        <v>239</v>
      </c>
      <c r="E89" s="5" t="s">
        <v>255</v>
      </c>
      <c r="F89" s="5" t="s">
        <v>256</v>
      </c>
      <c r="G89" s="6" t="s">
        <v>6</v>
      </c>
      <c r="H89" s="18">
        <v>10</v>
      </c>
    </row>
    <row r="90" spans="1:8" x14ac:dyDescent="0.25">
      <c r="A90" s="6">
        <v>87</v>
      </c>
      <c r="B90" s="5" t="s">
        <v>257</v>
      </c>
      <c r="C90" s="5" t="s">
        <v>238</v>
      </c>
      <c r="D90" s="5" t="s">
        <v>239</v>
      </c>
      <c r="E90" s="5" t="s">
        <v>258</v>
      </c>
      <c r="F90" s="5" t="s">
        <v>259</v>
      </c>
      <c r="G90" s="6" t="s">
        <v>6</v>
      </c>
      <c r="H90" s="18">
        <v>180</v>
      </c>
    </row>
    <row r="91" spans="1:8" x14ac:dyDescent="0.25">
      <c r="A91" s="6">
        <v>88</v>
      </c>
      <c r="B91" s="5" t="s">
        <v>260</v>
      </c>
      <c r="C91" s="5" t="s">
        <v>238</v>
      </c>
      <c r="D91" s="5" t="s">
        <v>239</v>
      </c>
      <c r="E91" s="5" t="s">
        <v>261</v>
      </c>
      <c r="F91" s="5" t="s">
        <v>259</v>
      </c>
      <c r="G91" s="6" t="s">
        <v>6</v>
      </c>
      <c r="H91" s="18">
        <v>15</v>
      </c>
    </row>
    <row r="92" spans="1:8" x14ac:dyDescent="0.25">
      <c r="A92" s="6">
        <v>89</v>
      </c>
      <c r="B92" s="5" t="s">
        <v>262</v>
      </c>
      <c r="C92" s="5" t="s">
        <v>238</v>
      </c>
      <c r="D92" s="5" t="s">
        <v>239</v>
      </c>
      <c r="E92" s="5" t="s">
        <v>263</v>
      </c>
      <c r="F92" s="5" t="s">
        <v>259</v>
      </c>
      <c r="G92" s="6" t="s">
        <v>6</v>
      </c>
      <c r="H92" s="18">
        <v>9</v>
      </c>
    </row>
    <row r="93" spans="1:8" x14ac:dyDescent="0.25">
      <c r="A93" s="6">
        <v>90</v>
      </c>
      <c r="B93" s="5" t="s">
        <v>264</v>
      </c>
      <c r="C93" s="5" t="s">
        <v>238</v>
      </c>
      <c r="D93" s="5" t="s">
        <v>239</v>
      </c>
      <c r="E93" s="5" t="s">
        <v>265</v>
      </c>
      <c r="F93" s="5" t="s">
        <v>259</v>
      </c>
      <c r="G93" s="6" t="s">
        <v>6</v>
      </c>
      <c r="H93" s="18">
        <v>18</v>
      </c>
    </row>
    <row r="94" spans="1:8" x14ac:dyDescent="0.25">
      <c r="A94" s="6">
        <v>91</v>
      </c>
      <c r="B94" s="5" t="s">
        <v>266</v>
      </c>
      <c r="C94" s="5" t="s">
        <v>238</v>
      </c>
      <c r="D94" s="5" t="s">
        <v>239</v>
      </c>
      <c r="E94" s="5" t="s">
        <v>267</v>
      </c>
      <c r="F94" s="5" t="s">
        <v>259</v>
      </c>
      <c r="G94" s="6" t="s">
        <v>6</v>
      </c>
      <c r="H94" s="18">
        <v>14</v>
      </c>
    </row>
    <row r="95" spans="1:8" x14ac:dyDescent="0.25">
      <c r="A95" s="6">
        <v>92</v>
      </c>
      <c r="B95" s="5" t="s">
        <v>268</v>
      </c>
      <c r="C95" s="5" t="s">
        <v>238</v>
      </c>
      <c r="D95" s="5" t="s">
        <v>239</v>
      </c>
      <c r="E95" s="5" t="s">
        <v>269</v>
      </c>
      <c r="F95" s="5" t="s">
        <v>259</v>
      </c>
      <c r="G95" s="6" t="s">
        <v>6</v>
      </c>
      <c r="H95" s="18">
        <v>7</v>
      </c>
    </row>
    <row r="96" spans="1:8" x14ac:dyDescent="0.25">
      <c r="A96" s="6">
        <v>93</v>
      </c>
      <c r="B96" s="5" t="s">
        <v>270</v>
      </c>
      <c r="C96" s="5" t="s">
        <v>238</v>
      </c>
      <c r="D96" s="5" t="s">
        <v>239</v>
      </c>
      <c r="E96" s="5" t="s">
        <v>271</v>
      </c>
      <c r="F96" s="5" t="s">
        <v>259</v>
      </c>
      <c r="G96" s="6" t="s">
        <v>6</v>
      </c>
      <c r="H96" s="18">
        <v>5</v>
      </c>
    </row>
    <row r="97" spans="1:8" x14ac:dyDescent="0.25">
      <c r="A97" s="6">
        <v>94</v>
      </c>
      <c r="B97" s="5" t="s">
        <v>272</v>
      </c>
      <c r="C97" s="5" t="s">
        <v>238</v>
      </c>
      <c r="D97" s="5" t="s">
        <v>239</v>
      </c>
      <c r="E97" s="5" t="s">
        <v>273</v>
      </c>
      <c r="F97" s="5" t="s">
        <v>274</v>
      </c>
      <c r="G97" s="6" t="s">
        <v>6</v>
      </c>
      <c r="H97" s="18">
        <v>12</v>
      </c>
    </row>
    <row r="98" spans="1:8" x14ac:dyDescent="0.25">
      <c r="A98" s="6">
        <v>95</v>
      </c>
      <c r="B98" s="5" t="s">
        <v>275</v>
      </c>
      <c r="C98" s="5" t="s">
        <v>238</v>
      </c>
      <c r="D98" s="5" t="s">
        <v>239</v>
      </c>
      <c r="E98" s="5" t="s">
        <v>276</v>
      </c>
      <c r="F98" s="5" t="s">
        <v>277</v>
      </c>
      <c r="G98" s="6" t="s">
        <v>6</v>
      </c>
      <c r="H98" s="18">
        <v>6</v>
      </c>
    </row>
    <row r="99" spans="1:8" x14ac:dyDescent="0.25">
      <c r="A99" s="6">
        <v>96</v>
      </c>
      <c r="B99" s="5" t="s">
        <v>278</v>
      </c>
      <c r="C99" s="5" t="s">
        <v>238</v>
      </c>
      <c r="D99" s="5" t="s">
        <v>239</v>
      </c>
      <c r="E99" s="5" t="s">
        <v>279</v>
      </c>
      <c r="F99" s="5" t="s">
        <v>280</v>
      </c>
      <c r="G99" s="6" t="s">
        <v>6</v>
      </c>
      <c r="H99" s="18">
        <v>6</v>
      </c>
    </row>
    <row r="100" spans="1:8" x14ac:dyDescent="0.25">
      <c r="A100" s="6">
        <v>97</v>
      </c>
      <c r="B100" s="5" t="s">
        <v>281</v>
      </c>
      <c r="C100" s="5" t="s">
        <v>238</v>
      </c>
      <c r="D100" s="5" t="s">
        <v>239</v>
      </c>
      <c r="E100" s="5" t="s">
        <v>282</v>
      </c>
      <c r="F100" s="5" t="s">
        <v>82</v>
      </c>
      <c r="G100" s="6" t="s">
        <v>6</v>
      </c>
      <c r="H100" s="18">
        <v>6</v>
      </c>
    </row>
    <row r="101" spans="1:8" x14ac:dyDescent="0.25">
      <c r="A101" s="6">
        <v>98</v>
      </c>
      <c r="B101" s="5" t="s">
        <v>283</v>
      </c>
      <c r="C101" s="5" t="s">
        <v>238</v>
      </c>
      <c r="D101" s="5" t="s">
        <v>239</v>
      </c>
      <c r="E101" s="5" t="s">
        <v>284</v>
      </c>
      <c r="F101" s="5" t="s">
        <v>79</v>
      </c>
      <c r="G101" s="6" t="s">
        <v>6</v>
      </c>
      <c r="H101" s="18">
        <v>13</v>
      </c>
    </row>
    <row r="102" spans="1:8" x14ac:dyDescent="0.25">
      <c r="A102" s="6">
        <v>99</v>
      </c>
      <c r="B102" s="5" t="s">
        <v>285</v>
      </c>
      <c r="C102" s="5" t="s">
        <v>238</v>
      </c>
      <c r="D102" s="5" t="s">
        <v>239</v>
      </c>
      <c r="E102" s="5" t="s">
        <v>286</v>
      </c>
      <c r="F102" s="5" t="s">
        <v>79</v>
      </c>
      <c r="G102" s="6" t="s">
        <v>6</v>
      </c>
      <c r="H102" s="18">
        <v>15</v>
      </c>
    </row>
    <row r="103" spans="1:8" x14ac:dyDescent="0.25">
      <c r="A103" s="6">
        <v>100</v>
      </c>
      <c r="B103" s="5" t="s">
        <v>287</v>
      </c>
      <c r="C103" s="5" t="s">
        <v>238</v>
      </c>
      <c r="D103" s="5" t="s">
        <v>239</v>
      </c>
      <c r="E103" s="5" t="s">
        <v>288</v>
      </c>
      <c r="F103" s="5" t="s">
        <v>79</v>
      </c>
      <c r="G103" s="6" t="s">
        <v>6</v>
      </c>
      <c r="H103" s="18">
        <v>9</v>
      </c>
    </row>
    <row r="104" spans="1:8" x14ac:dyDescent="0.25">
      <c r="A104" s="6">
        <v>101</v>
      </c>
      <c r="B104" s="5" t="s">
        <v>289</v>
      </c>
      <c r="C104" s="5" t="s">
        <v>238</v>
      </c>
      <c r="D104" s="5" t="s">
        <v>290</v>
      </c>
      <c r="E104" s="5" t="s">
        <v>291</v>
      </c>
      <c r="F104" s="5" t="s">
        <v>292</v>
      </c>
      <c r="G104" s="6" t="s">
        <v>6</v>
      </c>
      <c r="H104" s="18">
        <v>3</v>
      </c>
    </row>
    <row r="105" spans="1:8" x14ac:dyDescent="0.25">
      <c r="A105" s="6">
        <v>102</v>
      </c>
      <c r="B105" s="5" t="s">
        <v>293</v>
      </c>
      <c r="C105" s="5" t="s">
        <v>238</v>
      </c>
      <c r="D105" s="5" t="s">
        <v>290</v>
      </c>
      <c r="E105" s="5" t="s">
        <v>294</v>
      </c>
      <c r="F105" s="5" t="s">
        <v>295</v>
      </c>
      <c r="G105" s="6" t="s">
        <v>6</v>
      </c>
      <c r="H105" s="18">
        <v>3</v>
      </c>
    </row>
    <row r="106" spans="1:8" x14ac:dyDescent="0.25">
      <c r="A106" s="6">
        <v>103</v>
      </c>
      <c r="B106" s="5" t="s">
        <v>296</v>
      </c>
      <c r="C106" s="5" t="s">
        <v>238</v>
      </c>
      <c r="D106" s="5" t="s">
        <v>290</v>
      </c>
      <c r="E106" s="5" t="s">
        <v>203</v>
      </c>
      <c r="F106" s="5" t="s">
        <v>297</v>
      </c>
      <c r="G106" s="6" t="s">
        <v>6</v>
      </c>
      <c r="H106" s="18">
        <v>2</v>
      </c>
    </row>
    <row r="107" spans="1:8" x14ac:dyDescent="0.25">
      <c r="A107" s="6">
        <v>104</v>
      </c>
      <c r="B107" s="5" t="s">
        <v>298</v>
      </c>
      <c r="C107" s="5" t="s">
        <v>238</v>
      </c>
      <c r="D107" s="5" t="s">
        <v>290</v>
      </c>
      <c r="E107" s="5" t="s">
        <v>299</v>
      </c>
      <c r="F107" s="5" t="s">
        <v>300</v>
      </c>
      <c r="G107" s="6" t="s">
        <v>6</v>
      </c>
      <c r="H107" s="18">
        <v>85</v>
      </c>
    </row>
    <row r="108" spans="1:8" x14ac:dyDescent="0.25">
      <c r="A108" s="6">
        <v>105</v>
      </c>
      <c r="B108" s="5" t="s">
        <v>301</v>
      </c>
      <c r="C108" s="5" t="s">
        <v>302</v>
      </c>
      <c r="D108" s="5" t="s">
        <v>303</v>
      </c>
      <c r="E108" s="5" t="s">
        <v>304</v>
      </c>
      <c r="F108" s="5" t="s">
        <v>305</v>
      </c>
      <c r="G108" s="6" t="s">
        <v>6</v>
      </c>
      <c r="H108" s="18">
        <v>97</v>
      </c>
    </row>
    <row r="109" spans="1:8" x14ac:dyDescent="0.25">
      <c r="A109" s="6">
        <v>106</v>
      </c>
      <c r="B109" s="5" t="s">
        <v>306</v>
      </c>
      <c r="C109" s="5" t="s">
        <v>302</v>
      </c>
      <c r="D109" s="5" t="s">
        <v>303</v>
      </c>
      <c r="E109" s="5" t="s">
        <v>307</v>
      </c>
      <c r="F109" s="5" t="s">
        <v>308</v>
      </c>
      <c r="G109" s="6" t="s">
        <v>6</v>
      </c>
      <c r="H109" s="18">
        <v>24</v>
      </c>
    </row>
    <row r="110" spans="1:8" x14ac:dyDescent="0.25">
      <c r="A110" s="6">
        <v>107</v>
      </c>
      <c r="B110" s="5" t="s">
        <v>309</v>
      </c>
      <c r="C110" s="5" t="s">
        <v>302</v>
      </c>
      <c r="D110" s="5" t="s">
        <v>303</v>
      </c>
      <c r="E110" s="5" t="s">
        <v>310</v>
      </c>
      <c r="F110" s="5" t="s">
        <v>102</v>
      </c>
      <c r="G110" s="6" t="s">
        <v>6</v>
      </c>
      <c r="H110" s="18">
        <v>10</v>
      </c>
    </row>
    <row r="111" spans="1:8" x14ac:dyDescent="0.25">
      <c r="A111" s="6">
        <v>108</v>
      </c>
      <c r="B111" s="5" t="s">
        <v>311</v>
      </c>
      <c r="C111" s="5" t="s">
        <v>302</v>
      </c>
      <c r="D111" s="5" t="s">
        <v>303</v>
      </c>
      <c r="E111" s="5" t="s">
        <v>312</v>
      </c>
      <c r="F111" s="5" t="s">
        <v>102</v>
      </c>
      <c r="G111" s="6" t="s">
        <v>6</v>
      </c>
      <c r="H111" s="18">
        <v>60</v>
      </c>
    </row>
    <row r="112" spans="1:8" x14ac:dyDescent="0.25">
      <c r="A112" s="6">
        <v>109</v>
      </c>
      <c r="B112" s="5" t="s">
        <v>313</v>
      </c>
      <c r="C112" s="5" t="s">
        <v>302</v>
      </c>
      <c r="D112" s="5" t="s">
        <v>303</v>
      </c>
      <c r="E112" s="5" t="s">
        <v>314</v>
      </c>
      <c r="F112" s="5" t="s">
        <v>102</v>
      </c>
      <c r="G112" s="6" t="s">
        <v>6</v>
      </c>
      <c r="H112" s="18">
        <v>16</v>
      </c>
    </row>
    <row r="113" spans="1:8" x14ac:dyDescent="0.25">
      <c r="A113" s="6">
        <v>110</v>
      </c>
      <c r="B113" s="5" t="s">
        <v>315</v>
      </c>
      <c r="C113" s="5" t="s">
        <v>302</v>
      </c>
      <c r="D113" s="5" t="s">
        <v>303</v>
      </c>
      <c r="E113" s="5" t="s">
        <v>316</v>
      </c>
      <c r="F113" s="5" t="s">
        <v>102</v>
      </c>
      <c r="G113" s="6" t="s">
        <v>6</v>
      </c>
      <c r="H113" s="18">
        <v>8</v>
      </c>
    </row>
    <row r="114" spans="1:8" x14ac:dyDescent="0.25">
      <c r="A114" s="6">
        <v>111</v>
      </c>
      <c r="B114" s="5" t="s">
        <v>317</v>
      </c>
      <c r="C114" s="5" t="s">
        <v>302</v>
      </c>
      <c r="D114" s="5" t="s">
        <v>303</v>
      </c>
      <c r="E114" s="5" t="s">
        <v>318</v>
      </c>
      <c r="F114" s="5" t="s">
        <v>102</v>
      </c>
      <c r="G114" s="6" t="s">
        <v>6</v>
      </c>
      <c r="H114" s="18">
        <v>6</v>
      </c>
    </row>
    <row r="115" spans="1:8" x14ac:dyDescent="0.25">
      <c r="A115" s="6">
        <v>112</v>
      </c>
      <c r="B115" s="5" t="s">
        <v>319</v>
      </c>
      <c r="C115" s="5" t="s">
        <v>302</v>
      </c>
      <c r="D115" s="5" t="s">
        <v>303</v>
      </c>
      <c r="E115" s="5" t="s">
        <v>320</v>
      </c>
      <c r="F115" s="5" t="s">
        <v>102</v>
      </c>
      <c r="G115" s="6" t="s">
        <v>6</v>
      </c>
      <c r="H115" s="18">
        <v>9</v>
      </c>
    </row>
    <row r="116" spans="1:8" x14ac:dyDescent="0.25">
      <c r="A116" s="6">
        <v>113</v>
      </c>
      <c r="B116" s="5" t="s">
        <v>321</v>
      </c>
      <c r="C116" s="5" t="s">
        <v>302</v>
      </c>
      <c r="D116" s="5" t="s">
        <v>303</v>
      </c>
      <c r="E116" s="5" t="s">
        <v>322</v>
      </c>
      <c r="F116" s="5" t="s">
        <v>102</v>
      </c>
      <c r="G116" s="6" t="s">
        <v>6</v>
      </c>
      <c r="H116" s="18">
        <v>7</v>
      </c>
    </row>
    <row r="117" spans="1:8" x14ac:dyDescent="0.25">
      <c r="A117" s="6">
        <v>114</v>
      </c>
      <c r="B117" s="5" t="s">
        <v>323</v>
      </c>
      <c r="C117" s="5" t="s">
        <v>302</v>
      </c>
      <c r="D117" s="5" t="s">
        <v>303</v>
      </c>
      <c r="E117" s="5" t="s">
        <v>324</v>
      </c>
      <c r="F117" s="5" t="s">
        <v>325</v>
      </c>
      <c r="G117" s="6" t="s">
        <v>6</v>
      </c>
      <c r="H117" s="18">
        <v>6</v>
      </c>
    </row>
    <row r="118" spans="1:8" x14ac:dyDescent="0.25">
      <c r="A118" s="6">
        <v>115</v>
      </c>
      <c r="B118" s="5" t="s">
        <v>326</v>
      </c>
      <c r="C118" s="5" t="s">
        <v>302</v>
      </c>
      <c r="D118" s="5" t="s">
        <v>303</v>
      </c>
      <c r="E118" s="5" t="s">
        <v>327</v>
      </c>
      <c r="F118" s="5" t="s">
        <v>328</v>
      </c>
      <c r="G118" s="6" t="s">
        <v>6</v>
      </c>
      <c r="H118" s="18">
        <v>6</v>
      </c>
    </row>
    <row r="119" spans="1:8" x14ac:dyDescent="0.25">
      <c r="A119" s="6">
        <v>116</v>
      </c>
      <c r="B119" s="5" t="s">
        <v>329</v>
      </c>
      <c r="C119" s="5" t="s">
        <v>302</v>
      </c>
      <c r="D119" s="5" t="s">
        <v>303</v>
      </c>
      <c r="E119" s="5" t="s">
        <v>330</v>
      </c>
      <c r="F119" s="5" t="s">
        <v>82</v>
      </c>
      <c r="G119" s="6" t="s">
        <v>6</v>
      </c>
      <c r="H119" s="18">
        <v>6</v>
      </c>
    </row>
    <row r="120" spans="1:8" x14ac:dyDescent="0.25">
      <c r="A120" s="6">
        <v>117</v>
      </c>
      <c r="B120" s="5" t="s">
        <v>331</v>
      </c>
      <c r="C120" s="5" t="s">
        <v>302</v>
      </c>
      <c r="D120" s="5" t="s">
        <v>303</v>
      </c>
      <c r="E120" s="5" t="s">
        <v>332</v>
      </c>
      <c r="F120" s="5" t="s">
        <v>333</v>
      </c>
      <c r="G120" s="6" t="s">
        <v>6</v>
      </c>
      <c r="H120" s="18">
        <v>7</v>
      </c>
    </row>
    <row r="121" spans="1:8" x14ac:dyDescent="0.25">
      <c r="A121" s="6">
        <v>118</v>
      </c>
      <c r="B121" s="5" t="s">
        <v>334</v>
      </c>
      <c r="C121" s="5" t="s">
        <v>302</v>
      </c>
      <c r="D121" s="5" t="s">
        <v>303</v>
      </c>
      <c r="E121" s="5" t="s">
        <v>335</v>
      </c>
      <c r="F121" s="5" t="s">
        <v>79</v>
      </c>
      <c r="G121" s="6" t="s">
        <v>6</v>
      </c>
      <c r="H121" s="18">
        <v>4</v>
      </c>
    </row>
    <row r="122" spans="1:8" x14ac:dyDescent="0.25">
      <c r="A122" s="6">
        <v>119</v>
      </c>
      <c r="B122" s="5" t="s">
        <v>336</v>
      </c>
      <c r="C122" s="5" t="s">
        <v>302</v>
      </c>
      <c r="D122" s="5" t="s">
        <v>303</v>
      </c>
      <c r="E122" s="5" t="s">
        <v>337</v>
      </c>
      <c r="F122" s="5" t="s">
        <v>82</v>
      </c>
      <c r="G122" s="6" t="s">
        <v>6</v>
      </c>
      <c r="H122" s="18">
        <v>5</v>
      </c>
    </row>
    <row r="123" spans="1:8" x14ac:dyDescent="0.25">
      <c r="A123" s="6">
        <v>120</v>
      </c>
      <c r="B123" s="5" t="s">
        <v>338</v>
      </c>
      <c r="C123" s="5" t="s">
        <v>302</v>
      </c>
      <c r="D123" s="5" t="s">
        <v>303</v>
      </c>
      <c r="E123" s="5" t="s">
        <v>193</v>
      </c>
      <c r="F123" s="5" t="s">
        <v>339</v>
      </c>
      <c r="G123" s="6" t="s">
        <v>6</v>
      </c>
      <c r="H123" s="18">
        <v>4</v>
      </c>
    </row>
    <row r="124" spans="1:8" x14ac:dyDescent="0.25">
      <c r="A124" s="6">
        <v>121</v>
      </c>
      <c r="B124" s="5" t="s">
        <v>340</v>
      </c>
      <c r="C124" s="5" t="s">
        <v>302</v>
      </c>
      <c r="D124" s="5" t="s">
        <v>303</v>
      </c>
      <c r="E124" s="5" t="s">
        <v>341</v>
      </c>
      <c r="F124" s="5" t="s">
        <v>342</v>
      </c>
      <c r="G124" s="6" t="s">
        <v>6</v>
      </c>
      <c r="H124" s="18">
        <v>7</v>
      </c>
    </row>
    <row r="125" spans="1:8" x14ac:dyDescent="0.25">
      <c r="A125" s="6">
        <v>122</v>
      </c>
      <c r="B125" s="5" t="s">
        <v>343</v>
      </c>
      <c r="C125" s="5" t="s">
        <v>302</v>
      </c>
      <c r="D125" s="5" t="s">
        <v>303</v>
      </c>
      <c r="E125" s="5" t="s">
        <v>344</v>
      </c>
      <c r="F125" s="5" t="s">
        <v>345</v>
      </c>
      <c r="G125" s="6" t="s">
        <v>6</v>
      </c>
      <c r="H125" s="18">
        <v>6</v>
      </c>
    </row>
    <row r="126" spans="1:8" x14ac:dyDescent="0.25">
      <c r="A126" s="6">
        <v>123</v>
      </c>
      <c r="B126" s="5" t="s">
        <v>346</v>
      </c>
      <c r="C126" s="5" t="s">
        <v>302</v>
      </c>
      <c r="D126" s="5" t="s">
        <v>303</v>
      </c>
      <c r="E126" s="5" t="s">
        <v>347</v>
      </c>
      <c r="F126" s="5" t="s">
        <v>102</v>
      </c>
      <c r="G126" s="6" t="s">
        <v>6</v>
      </c>
      <c r="H126" s="18">
        <v>7</v>
      </c>
    </row>
    <row r="127" spans="1:8" x14ac:dyDescent="0.25">
      <c r="A127" s="6">
        <v>124</v>
      </c>
      <c r="B127" s="5" t="s">
        <v>348</v>
      </c>
      <c r="C127" s="5" t="s">
        <v>302</v>
      </c>
      <c r="D127" s="5" t="s">
        <v>349</v>
      </c>
      <c r="E127" s="5" t="s">
        <v>304</v>
      </c>
      <c r="F127" s="5" t="s">
        <v>305</v>
      </c>
      <c r="G127" s="6" t="s">
        <v>6</v>
      </c>
      <c r="H127" s="18">
        <v>5</v>
      </c>
    </row>
    <row r="128" spans="1:8" x14ac:dyDescent="0.25">
      <c r="A128" s="6">
        <v>125</v>
      </c>
      <c r="B128" s="5" t="s">
        <v>350</v>
      </c>
      <c r="C128" s="5" t="s">
        <v>302</v>
      </c>
      <c r="D128" s="5" t="s">
        <v>349</v>
      </c>
      <c r="E128" s="5" t="s">
        <v>307</v>
      </c>
      <c r="F128" s="5" t="s">
        <v>351</v>
      </c>
      <c r="G128" s="6" t="s">
        <v>6</v>
      </c>
      <c r="H128" s="18">
        <v>9</v>
      </c>
    </row>
    <row r="129" spans="1:8" x14ac:dyDescent="0.25">
      <c r="A129" s="6">
        <v>126</v>
      </c>
      <c r="B129" s="5" t="s">
        <v>352</v>
      </c>
      <c r="C129" s="5" t="s">
        <v>302</v>
      </c>
      <c r="D129" s="5" t="s">
        <v>349</v>
      </c>
      <c r="E129" s="5" t="s">
        <v>310</v>
      </c>
      <c r="F129" s="5" t="s">
        <v>102</v>
      </c>
      <c r="G129" s="6" t="s">
        <v>6</v>
      </c>
      <c r="H129" s="18">
        <v>6</v>
      </c>
    </row>
    <row r="130" spans="1:8" x14ac:dyDescent="0.25">
      <c r="A130" s="6">
        <v>127</v>
      </c>
      <c r="B130" s="5" t="s">
        <v>353</v>
      </c>
      <c r="C130" s="5" t="s">
        <v>302</v>
      </c>
      <c r="D130" s="5" t="s">
        <v>349</v>
      </c>
      <c r="E130" s="5" t="s">
        <v>312</v>
      </c>
      <c r="F130" s="5" t="s">
        <v>102</v>
      </c>
      <c r="G130" s="6" t="s">
        <v>6</v>
      </c>
      <c r="H130" s="18">
        <v>38</v>
      </c>
    </row>
    <row r="131" spans="1:8" x14ac:dyDescent="0.25">
      <c r="A131" s="6">
        <v>128</v>
      </c>
      <c r="B131" s="5" t="s">
        <v>354</v>
      </c>
      <c r="C131" s="5" t="s">
        <v>302</v>
      </c>
      <c r="D131" s="5" t="s">
        <v>349</v>
      </c>
      <c r="E131" s="5" t="s">
        <v>314</v>
      </c>
      <c r="F131" s="5" t="s">
        <v>102</v>
      </c>
      <c r="G131" s="6" t="s">
        <v>6</v>
      </c>
      <c r="H131" s="18">
        <v>5</v>
      </c>
    </row>
    <row r="132" spans="1:8" x14ac:dyDescent="0.25">
      <c r="A132" s="6">
        <v>129</v>
      </c>
      <c r="B132" s="5" t="s">
        <v>355</v>
      </c>
      <c r="C132" s="5" t="s">
        <v>302</v>
      </c>
      <c r="D132" s="5" t="s">
        <v>349</v>
      </c>
      <c r="E132" s="5" t="s">
        <v>316</v>
      </c>
      <c r="F132" s="5" t="s">
        <v>102</v>
      </c>
      <c r="G132" s="6" t="s">
        <v>6</v>
      </c>
      <c r="H132" s="18">
        <v>5</v>
      </c>
    </row>
    <row r="133" spans="1:8" x14ac:dyDescent="0.25">
      <c r="A133" s="6">
        <v>130</v>
      </c>
      <c r="B133" s="5" t="s">
        <v>356</v>
      </c>
      <c r="C133" s="5" t="s">
        <v>302</v>
      </c>
      <c r="D133" s="5" t="s">
        <v>349</v>
      </c>
      <c r="E133" s="5" t="s">
        <v>318</v>
      </c>
      <c r="F133" s="5" t="s">
        <v>102</v>
      </c>
      <c r="G133" s="6" t="s">
        <v>6</v>
      </c>
      <c r="H133" s="18">
        <v>10</v>
      </c>
    </row>
    <row r="134" spans="1:8" x14ac:dyDescent="0.25">
      <c r="A134" s="6">
        <v>131</v>
      </c>
      <c r="B134" s="5" t="s">
        <v>357</v>
      </c>
      <c r="C134" s="5" t="s">
        <v>302</v>
      </c>
      <c r="D134" s="5" t="s">
        <v>349</v>
      </c>
      <c r="E134" s="5" t="s">
        <v>320</v>
      </c>
      <c r="F134" s="5" t="s">
        <v>102</v>
      </c>
      <c r="G134" s="6" t="s">
        <v>6</v>
      </c>
      <c r="H134" s="18">
        <v>10</v>
      </c>
    </row>
    <row r="135" spans="1:8" x14ac:dyDescent="0.25">
      <c r="A135" s="6">
        <v>132</v>
      </c>
      <c r="B135" s="5" t="s">
        <v>358</v>
      </c>
      <c r="C135" s="5" t="s">
        <v>302</v>
      </c>
      <c r="D135" s="5" t="s">
        <v>349</v>
      </c>
      <c r="E135" s="5" t="s">
        <v>322</v>
      </c>
      <c r="F135" s="5" t="s">
        <v>102</v>
      </c>
      <c r="G135" s="6" t="s">
        <v>6</v>
      </c>
      <c r="H135" s="18">
        <v>7</v>
      </c>
    </row>
    <row r="136" spans="1:8" x14ac:dyDescent="0.25">
      <c r="A136" s="6">
        <v>133</v>
      </c>
      <c r="B136" s="5" t="s">
        <v>359</v>
      </c>
      <c r="C136" s="5" t="s">
        <v>302</v>
      </c>
      <c r="D136" s="5" t="s">
        <v>349</v>
      </c>
      <c r="E136" s="5" t="s">
        <v>324</v>
      </c>
      <c r="F136" s="5" t="s">
        <v>325</v>
      </c>
      <c r="G136" s="6" t="s">
        <v>6</v>
      </c>
      <c r="H136" s="18">
        <v>5</v>
      </c>
    </row>
    <row r="137" spans="1:8" x14ac:dyDescent="0.25">
      <c r="A137" s="6">
        <v>134</v>
      </c>
      <c r="B137" s="5" t="s">
        <v>360</v>
      </c>
      <c r="C137" s="5" t="s">
        <v>302</v>
      </c>
      <c r="D137" s="5" t="s">
        <v>349</v>
      </c>
      <c r="E137" s="5" t="s">
        <v>327</v>
      </c>
      <c r="F137" s="5" t="s">
        <v>328</v>
      </c>
      <c r="G137" s="6" t="s">
        <v>6</v>
      </c>
      <c r="H137" s="18">
        <v>6</v>
      </c>
    </row>
    <row r="138" spans="1:8" x14ac:dyDescent="0.25">
      <c r="A138" s="6">
        <v>135</v>
      </c>
      <c r="B138" s="5" t="s">
        <v>361</v>
      </c>
      <c r="C138" s="5" t="s">
        <v>302</v>
      </c>
      <c r="D138" s="5" t="s">
        <v>349</v>
      </c>
      <c r="E138" s="5" t="s">
        <v>330</v>
      </c>
      <c r="F138" s="5" t="s">
        <v>82</v>
      </c>
      <c r="G138" s="6" t="s">
        <v>6</v>
      </c>
      <c r="H138" s="18">
        <v>7</v>
      </c>
    </row>
    <row r="139" spans="1:8" x14ac:dyDescent="0.25">
      <c r="A139" s="6">
        <v>136</v>
      </c>
      <c r="B139" s="5" t="s">
        <v>362</v>
      </c>
      <c r="C139" s="5" t="s">
        <v>302</v>
      </c>
      <c r="D139" s="5" t="s">
        <v>349</v>
      </c>
      <c r="E139" s="5" t="s">
        <v>363</v>
      </c>
      <c r="F139" s="5" t="s">
        <v>333</v>
      </c>
      <c r="G139" s="6" t="s">
        <v>6</v>
      </c>
      <c r="H139" s="18">
        <v>6</v>
      </c>
    </row>
    <row r="140" spans="1:8" x14ac:dyDescent="0.25">
      <c r="A140" s="6">
        <v>137</v>
      </c>
      <c r="B140" s="5" t="s">
        <v>364</v>
      </c>
      <c r="C140" s="5" t="s">
        <v>302</v>
      </c>
      <c r="D140" s="5" t="s">
        <v>349</v>
      </c>
      <c r="E140" s="5" t="s">
        <v>365</v>
      </c>
      <c r="F140" s="5" t="s">
        <v>79</v>
      </c>
      <c r="G140" s="6" t="s">
        <v>6</v>
      </c>
      <c r="H140" s="18">
        <v>4</v>
      </c>
    </row>
    <row r="141" spans="1:8" x14ac:dyDescent="0.25">
      <c r="A141" s="6">
        <v>138</v>
      </c>
      <c r="B141" s="5" t="s">
        <v>366</v>
      </c>
      <c r="C141" s="5" t="s">
        <v>302</v>
      </c>
      <c r="D141" s="5" t="s">
        <v>349</v>
      </c>
      <c r="E141" s="5" t="s">
        <v>367</v>
      </c>
      <c r="F141" s="5" t="s">
        <v>82</v>
      </c>
      <c r="G141" s="6" t="s">
        <v>6</v>
      </c>
      <c r="H141" s="18">
        <v>5</v>
      </c>
    </row>
    <row r="142" spans="1:8" x14ac:dyDescent="0.25">
      <c r="A142" s="6">
        <v>139</v>
      </c>
      <c r="B142" s="5" t="s">
        <v>368</v>
      </c>
      <c r="C142" s="5" t="s">
        <v>302</v>
      </c>
      <c r="D142" s="5" t="s">
        <v>349</v>
      </c>
      <c r="E142" s="5" t="s">
        <v>193</v>
      </c>
      <c r="F142" s="5" t="s">
        <v>339</v>
      </c>
      <c r="G142" s="6" t="s">
        <v>6</v>
      </c>
      <c r="H142" s="18">
        <v>4</v>
      </c>
    </row>
    <row r="143" spans="1:8" x14ac:dyDescent="0.25">
      <c r="A143" s="6">
        <v>140</v>
      </c>
      <c r="B143" s="5" t="s">
        <v>369</v>
      </c>
      <c r="C143" s="5" t="s">
        <v>302</v>
      </c>
      <c r="D143" s="5" t="s">
        <v>349</v>
      </c>
      <c r="E143" s="5" t="s">
        <v>341</v>
      </c>
      <c r="F143" s="5" t="s">
        <v>342</v>
      </c>
      <c r="G143" s="6" t="s">
        <v>6</v>
      </c>
      <c r="H143" s="18">
        <v>5</v>
      </c>
    </row>
    <row r="144" spans="1:8" x14ac:dyDescent="0.25">
      <c r="A144" s="6">
        <v>141</v>
      </c>
      <c r="B144" s="5" t="s">
        <v>370</v>
      </c>
      <c r="C144" s="5" t="s">
        <v>302</v>
      </c>
      <c r="D144" s="5" t="s">
        <v>349</v>
      </c>
      <c r="E144" s="5" t="s">
        <v>344</v>
      </c>
      <c r="F144" s="5" t="s">
        <v>345</v>
      </c>
      <c r="G144" s="6" t="s">
        <v>6</v>
      </c>
      <c r="H144" s="18">
        <v>4</v>
      </c>
    </row>
    <row r="145" spans="1:8" x14ac:dyDescent="0.25">
      <c r="A145" s="6">
        <v>142</v>
      </c>
      <c r="B145" s="5" t="s">
        <v>371</v>
      </c>
      <c r="C145" s="5" t="s">
        <v>302</v>
      </c>
      <c r="D145" s="5" t="s">
        <v>349</v>
      </c>
      <c r="E145" s="5" t="s">
        <v>347</v>
      </c>
      <c r="F145" s="5" t="s">
        <v>102</v>
      </c>
      <c r="G145" s="6" t="s">
        <v>6</v>
      </c>
      <c r="H145" s="18">
        <v>5</v>
      </c>
    </row>
    <row r="146" spans="1:8" x14ac:dyDescent="0.25">
      <c r="A146" s="6">
        <v>143</v>
      </c>
      <c r="B146" s="5" t="s">
        <v>372</v>
      </c>
      <c r="C146" s="5" t="s">
        <v>373</v>
      </c>
      <c r="D146" s="5" t="s">
        <v>374</v>
      </c>
      <c r="E146" s="5" t="s">
        <v>375</v>
      </c>
      <c r="F146" s="5" t="s">
        <v>376</v>
      </c>
      <c r="G146" s="6" t="s">
        <v>6</v>
      </c>
      <c r="H146" s="18">
        <v>36</v>
      </c>
    </row>
    <row r="147" spans="1:8" x14ac:dyDescent="0.25">
      <c r="A147" s="6">
        <v>144</v>
      </c>
      <c r="B147" s="5" t="s">
        <v>377</v>
      </c>
      <c r="C147" s="5" t="s">
        <v>373</v>
      </c>
      <c r="D147" s="5" t="s">
        <v>374</v>
      </c>
      <c r="E147" s="5" t="s">
        <v>378</v>
      </c>
      <c r="F147" s="5" t="s">
        <v>379</v>
      </c>
      <c r="G147" s="6" t="s">
        <v>6</v>
      </c>
      <c r="H147" s="18">
        <v>20</v>
      </c>
    </row>
    <row r="148" spans="1:8" x14ac:dyDescent="0.25">
      <c r="A148" s="6">
        <v>145</v>
      </c>
      <c r="B148" s="5" t="s">
        <v>380</v>
      </c>
      <c r="C148" s="5" t="s">
        <v>373</v>
      </c>
      <c r="D148" s="5" t="s">
        <v>381</v>
      </c>
      <c r="E148" s="5" t="s">
        <v>382</v>
      </c>
      <c r="F148" s="5" t="s">
        <v>383</v>
      </c>
      <c r="G148" s="6" t="s">
        <v>6</v>
      </c>
      <c r="H148" s="18">
        <v>24</v>
      </c>
    </row>
    <row r="149" spans="1:8" x14ac:dyDescent="0.25">
      <c r="A149" s="6">
        <v>146</v>
      </c>
      <c r="B149" s="5" t="s">
        <v>384</v>
      </c>
      <c r="C149" s="5" t="s">
        <v>373</v>
      </c>
      <c r="D149" s="5" t="s">
        <v>381</v>
      </c>
      <c r="E149" s="5" t="s">
        <v>385</v>
      </c>
      <c r="F149" s="5" t="s">
        <v>386</v>
      </c>
      <c r="G149" s="6" t="s">
        <v>6</v>
      </c>
      <c r="H149" s="18">
        <v>11</v>
      </c>
    </row>
    <row r="150" spans="1:8" x14ac:dyDescent="0.25">
      <c r="A150" s="6">
        <v>147</v>
      </c>
      <c r="B150" s="5" t="s">
        <v>387</v>
      </c>
      <c r="C150" s="5" t="s">
        <v>373</v>
      </c>
      <c r="D150" s="5" t="s">
        <v>381</v>
      </c>
      <c r="E150" s="5" t="s">
        <v>388</v>
      </c>
      <c r="F150" s="5" t="s">
        <v>102</v>
      </c>
      <c r="G150" s="6" t="s">
        <v>6</v>
      </c>
      <c r="H150" s="18">
        <v>6</v>
      </c>
    </row>
    <row r="151" spans="1:8" x14ac:dyDescent="0.25">
      <c r="A151" s="6">
        <v>148</v>
      </c>
      <c r="B151" s="5" t="s">
        <v>389</v>
      </c>
      <c r="C151" s="5" t="s">
        <v>373</v>
      </c>
      <c r="D151" s="5" t="s">
        <v>381</v>
      </c>
      <c r="E151" s="5" t="s">
        <v>390</v>
      </c>
      <c r="F151" s="5" t="s">
        <v>102</v>
      </c>
      <c r="G151" s="6" t="s">
        <v>6</v>
      </c>
      <c r="H151" s="18">
        <v>6</v>
      </c>
    </row>
    <row r="152" spans="1:8" x14ac:dyDescent="0.25">
      <c r="A152" s="6">
        <v>149</v>
      </c>
      <c r="B152" s="5" t="s">
        <v>391</v>
      </c>
      <c r="C152" s="5" t="s">
        <v>373</v>
      </c>
      <c r="D152" s="5" t="s">
        <v>381</v>
      </c>
      <c r="E152" s="5" t="s">
        <v>183</v>
      </c>
      <c r="F152" s="5" t="s">
        <v>102</v>
      </c>
      <c r="G152" s="6" t="s">
        <v>6</v>
      </c>
      <c r="H152" s="18">
        <v>6</v>
      </c>
    </row>
    <row r="153" spans="1:8" x14ac:dyDescent="0.25">
      <c r="A153" s="6">
        <v>150</v>
      </c>
      <c r="B153" s="5" t="s">
        <v>392</v>
      </c>
      <c r="C153" s="5" t="s">
        <v>373</v>
      </c>
      <c r="D153" s="5" t="s">
        <v>381</v>
      </c>
      <c r="E153" s="5" t="s">
        <v>393</v>
      </c>
      <c r="F153" s="5" t="s">
        <v>102</v>
      </c>
      <c r="G153" s="6" t="s">
        <v>6</v>
      </c>
      <c r="H153" s="18">
        <v>6</v>
      </c>
    </row>
    <row r="154" spans="1:8" x14ac:dyDescent="0.25">
      <c r="A154" s="6">
        <v>151</v>
      </c>
      <c r="B154" s="5" t="s">
        <v>394</v>
      </c>
      <c r="C154" s="5" t="s">
        <v>373</v>
      </c>
      <c r="D154" s="5" t="s">
        <v>381</v>
      </c>
      <c r="E154" s="5" t="s">
        <v>203</v>
      </c>
      <c r="F154" s="5" t="s">
        <v>102</v>
      </c>
      <c r="G154" s="6" t="s">
        <v>6</v>
      </c>
      <c r="H154" s="18">
        <v>6</v>
      </c>
    </row>
    <row r="155" spans="1:8" x14ac:dyDescent="0.25">
      <c r="A155" s="6">
        <v>152</v>
      </c>
      <c r="B155" s="5" t="s">
        <v>395</v>
      </c>
      <c r="C155" s="5" t="s">
        <v>373</v>
      </c>
      <c r="D155" s="5" t="s">
        <v>381</v>
      </c>
      <c r="E155" s="5" t="s">
        <v>396</v>
      </c>
      <c r="F155" s="5" t="s">
        <v>397</v>
      </c>
      <c r="G155" s="6" t="s">
        <v>6</v>
      </c>
      <c r="H155" s="18">
        <v>7</v>
      </c>
    </row>
    <row r="156" spans="1:8" x14ac:dyDescent="0.25">
      <c r="A156" s="6">
        <v>153</v>
      </c>
      <c r="B156" s="5" t="s">
        <v>398</v>
      </c>
      <c r="C156" s="5" t="s">
        <v>373</v>
      </c>
      <c r="D156" s="5" t="s">
        <v>381</v>
      </c>
      <c r="E156" s="5" t="s">
        <v>399</v>
      </c>
      <c r="F156" s="5" t="s">
        <v>82</v>
      </c>
      <c r="G156" s="6" t="s">
        <v>6</v>
      </c>
      <c r="H156" s="18">
        <v>5</v>
      </c>
    </row>
    <row r="157" spans="1:8" x14ac:dyDescent="0.25">
      <c r="A157" s="6">
        <v>154</v>
      </c>
      <c r="B157" s="5" t="s">
        <v>400</v>
      </c>
      <c r="C157" s="5" t="s">
        <v>373</v>
      </c>
      <c r="D157" s="5" t="s">
        <v>401</v>
      </c>
      <c r="E157" s="5" t="s">
        <v>183</v>
      </c>
      <c r="F157" s="5" t="s">
        <v>102</v>
      </c>
      <c r="G157" s="6" t="s">
        <v>6</v>
      </c>
      <c r="H157" s="18">
        <v>5</v>
      </c>
    </row>
    <row r="158" spans="1:8" x14ac:dyDescent="0.25">
      <c r="A158" s="6">
        <v>155</v>
      </c>
      <c r="B158" s="5" t="s">
        <v>402</v>
      </c>
      <c r="C158" s="5" t="s">
        <v>373</v>
      </c>
      <c r="D158" s="5" t="s">
        <v>401</v>
      </c>
      <c r="E158" s="5" t="s">
        <v>178</v>
      </c>
      <c r="F158" s="5" t="s">
        <v>403</v>
      </c>
      <c r="G158" s="6" t="s">
        <v>6</v>
      </c>
      <c r="H158" s="18">
        <v>4</v>
      </c>
    </row>
    <row r="159" spans="1:8" x14ac:dyDescent="0.25">
      <c r="A159" s="6">
        <v>156</v>
      </c>
      <c r="B159" s="5" t="s">
        <v>404</v>
      </c>
      <c r="C159" s="5" t="s">
        <v>373</v>
      </c>
      <c r="D159" s="5" t="s">
        <v>401</v>
      </c>
      <c r="E159" s="5" t="s">
        <v>405</v>
      </c>
      <c r="F159" s="5" t="s">
        <v>406</v>
      </c>
      <c r="G159" s="6" t="s">
        <v>6</v>
      </c>
      <c r="H159" s="18">
        <v>5</v>
      </c>
    </row>
    <row r="160" spans="1:8" x14ac:dyDescent="0.25">
      <c r="A160" s="6">
        <v>157</v>
      </c>
      <c r="B160" s="5" t="s">
        <v>407</v>
      </c>
      <c r="C160" s="5" t="s">
        <v>373</v>
      </c>
      <c r="D160" s="5" t="s">
        <v>401</v>
      </c>
      <c r="E160" s="5" t="s">
        <v>408</v>
      </c>
      <c r="F160" s="5" t="s">
        <v>253</v>
      </c>
      <c r="G160" s="6" t="s">
        <v>6</v>
      </c>
      <c r="H160" s="18">
        <v>18</v>
      </c>
    </row>
    <row r="161" spans="1:8" x14ac:dyDescent="0.25">
      <c r="A161" s="6">
        <v>158</v>
      </c>
      <c r="B161" s="5" t="s">
        <v>409</v>
      </c>
      <c r="C161" s="5" t="s">
        <v>373</v>
      </c>
      <c r="D161" s="5" t="s">
        <v>401</v>
      </c>
      <c r="E161" s="5" t="s">
        <v>410</v>
      </c>
      <c r="F161" s="5" t="s">
        <v>411</v>
      </c>
      <c r="G161" s="6" t="s">
        <v>6</v>
      </c>
      <c r="H161" s="18">
        <v>4</v>
      </c>
    </row>
    <row r="162" spans="1:8" x14ac:dyDescent="0.25">
      <c r="A162" s="6">
        <v>159</v>
      </c>
      <c r="B162" s="5" t="s">
        <v>412</v>
      </c>
      <c r="C162" s="5" t="s">
        <v>373</v>
      </c>
      <c r="D162" s="5" t="s">
        <v>401</v>
      </c>
      <c r="E162" s="5" t="s">
        <v>413</v>
      </c>
      <c r="F162" s="5" t="s">
        <v>414</v>
      </c>
      <c r="G162" s="6" t="s">
        <v>6</v>
      </c>
      <c r="H162" s="18">
        <v>3</v>
      </c>
    </row>
    <row r="163" spans="1:8" x14ac:dyDescent="0.25">
      <c r="A163" s="6">
        <v>160</v>
      </c>
      <c r="B163" s="5" t="s">
        <v>415</v>
      </c>
      <c r="C163" s="5" t="s">
        <v>373</v>
      </c>
      <c r="D163" s="5" t="s">
        <v>401</v>
      </c>
      <c r="E163" s="5" t="s">
        <v>416</v>
      </c>
      <c r="F163" s="5" t="s">
        <v>417</v>
      </c>
      <c r="G163" s="6" t="s">
        <v>6</v>
      </c>
      <c r="H163" s="18">
        <v>3</v>
      </c>
    </row>
    <row r="164" spans="1:8" x14ac:dyDescent="0.25">
      <c r="A164" s="6">
        <v>161</v>
      </c>
      <c r="B164" s="5" t="s">
        <v>418</v>
      </c>
      <c r="C164" s="5" t="s">
        <v>373</v>
      </c>
      <c r="D164" s="5" t="s">
        <v>401</v>
      </c>
      <c r="E164" s="5" t="s">
        <v>419</v>
      </c>
      <c r="F164" s="5" t="s">
        <v>82</v>
      </c>
      <c r="G164" s="6" t="s">
        <v>6</v>
      </c>
      <c r="H164" s="18">
        <v>4</v>
      </c>
    </row>
    <row r="165" spans="1:8" x14ac:dyDescent="0.25">
      <c r="A165" s="6">
        <v>162</v>
      </c>
      <c r="B165" s="5" t="s">
        <v>420</v>
      </c>
      <c r="C165" s="5" t="s">
        <v>373</v>
      </c>
      <c r="D165" s="5" t="s">
        <v>421</v>
      </c>
      <c r="E165" s="5" t="s">
        <v>422</v>
      </c>
      <c r="F165" s="5" t="s">
        <v>102</v>
      </c>
      <c r="G165" s="6" t="s">
        <v>6</v>
      </c>
      <c r="H165" s="18">
        <v>5</v>
      </c>
    </row>
    <row r="166" spans="1:8" x14ac:dyDescent="0.25">
      <c r="A166" s="6">
        <v>163</v>
      </c>
      <c r="B166" s="5" t="s">
        <v>423</v>
      </c>
      <c r="C166" s="5" t="s">
        <v>373</v>
      </c>
      <c r="D166" s="5" t="s">
        <v>421</v>
      </c>
      <c r="E166" s="5" t="s">
        <v>424</v>
      </c>
      <c r="F166" s="5" t="s">
        <v>102</v>
      </c>
      <c r="G166" s="6" t="s">
        <v>6</v>
      </c>
      <c r="H166" s="18">
        <v>5</v>
      </c>
    </row>
    <row r="167" spans="1:8" x14ac:dyDescent="0.25">
      <c r="A167" s="6">
        <v>164</v>
      </c>
      <c r="B167" s="5" t="s">
        <v>425</v>
      </c>
      <c r="C167" s="5" t="s">
        <v>373</v>
      </c>
      <c r="D167" s="5" t="s">
        <v>421</v>
      </c>
      <c r="E167" s="5" t="s">
        <v>426</v>
      </c>
      <c r="F167" s="5" t="s">
        <v>102</v>
      </c>
      <c r="G167" s="6" t="s">
        <v>6</v>
      </c>
      <c r="H167" s="18">
        <v>3</v>
      </c>
    </row>
    <row r="168" spans="1:8" x14ac:dyDescent="0.25">
      <c r="A168" s="6">
        <v>165</v>
      </c>
      <c r="B168" s="5" t="s">
        <v>427</v>
      </c>
      <c r="C168" s="5" t="s">
        <v>373</v>
      </c>
      <c r="D168" s="5" t="s">
        <v>421</v>
      </c>
      <c r="E168" s="5" t="s">
        <v>183</v>
      </c>
      <c r="F168" s="5" t="s">
        <v>102</v>
      </c>
      <c r="G168" s="6" t="s">
        <v>6</v>
      </c>
      <c r="H168" s="18">
        <v>4</v>
      </c>
    </row>
    <row r="169" spans="1:8" x14ac:dyDescent="0.25">
      <c r="A169" s="6">
        <v>166</v>
      </c>
      <c r="B169" s="5" t="s">
        <v>428</v>
      </c>
      <c r="C169" s="5" t="s">
        <v>373</v>
      </c>
      <c r="D169" s="5" t="s">
        <v>421</v>
      </c>
      <c r="E169" s="5" t="s">
        <v>429</v>
      </c>
      <c r="F169" s="5" t="s">
        <v>430</v>
      </c>
      <c r="G169" s="6" t="s">
        <v>6</v>
      </c>
      <c r="H169" s="18">
        <v>5</v>
      </c>
    </row>
    <row r="170" spans="1:8" x14ac:dyDescent="0.25">
      <c r="A170" s="6">
        <v>167</v>
      </c>
      <c r="B170" s="5" t="s">
        <v>431</v>
      </c>
      <c r="C170" s="5" t="s">
        <v>373</v>
      </c>
      <c r="D170" s="5" t="s">
        <v>421</v>
      </c>
      <c r="E170" s="5" t="s">
        <v>432</v>
      </c>
      <c r="F170" s="5" t="s">
        <v>433</v>
      </c>
      <c r="G170" s="6" t="s">
        <v>6</v>
      </c>
      <c r="H170" s="18">
        <v>6</v>
      </c>
    </row>
    <row r="171" spans="1:8" x14ac:dyDescent="0.25">
      <c r="A171" s="6">
        <v>168</v>
      </c>
      <c r="B171" s="5" t="s">
        <v>434</v>
      </c>
      <c r="C171" s="5" t="s">
        <v>373</v>
      </c>
      <c r="D171" s="5" t="s">
        <v>421</v>
      </c>
      <c r="E171" s="5" t="s">
        <v>435</v>
      </c>
      <c r="F171" s="5" t="s">
        <v>406</v>
      </c>
      <c r="G171" s="6" t="s">
        <v>6</v>
      </c>
      <c r="H171" s="18">
        <v>2</v>
      </c>
    </row>
    <row r="172" spans="1:8" x14ac:dyDescent="0.25">
      <c r="A172" s="6">
        <v>169</v>
      </c>
      <c r="B172" s="5" t="s">
        <v>436</v>
      </c>
      <c r="C172" s="5" t="s">
        <v>373</v>
      </c>
      <c r="D172" s="5" t="s">
        <v>421</v>
      </c>
      <c r="E172" s="5" t="s">
        <v>437</v>
      </c>
      <c r="F172" s="5" t="s">
        <v>438</v>
      </c>
      <c r="G172" s="6" t="s">
        <v>6</v>
      </c>
      <c r="H172" s="18">
        <v>7</v>
      </c>
    </row>
    <row r="173" spans="1:8" x14ac:dyDescent="0.25">
      <c r="A173" s="6">
        <v>170</v>
      </c>
      <c r="B173" s="5" t="s">
        <v>439</v>
      </c>
      <c r="C173" s="5" t="s">
        <v>373</v>
      </c>
      <c r="D173" s="5" t="s">
        <v>421</v>
      </c>
      <c r="E173" s="5" t="s">
        <v>187</v>
      </c>
      <c r="F173" s="5" t="s">
        <v>82</v>
      </c>
      <c r="G173" s="6" t="s">
        <v>6</v>
      </c>
      <c r="H173" s="18">
        <v>4</v>
      </c>
    </row>
    <row r="174" spans="1:8" x14ac:dyDescent="0.25">
      <c r="A174" s="6">
        <v>171</v>
      </c>
      <c r="B174" s="5" t="s">
        <v>440</v>
      </c>
      <c r="C174" s="5" t="s">
        <v>373</v>
      </c>
      <c r="D174" s="5" t="s">
        <v>421</v>
      </c>
      <c r="E174" s="5" t="s">
        <v>441</v>
      </c>
      <c r="F174" s="5" t="s">
        <v>442</v>
      </c>
      <c r="G174" s="6" t="s">
        <v>6</v>
      </c>
      <c r="H174" s="18">
        <v>3</v>
      </c>
    </row>
    <row r="175" spans="1:8" x14ac:dyDescent="0.25">
      <c r="A175" s="6">
        <v>172</v>
      </c>
      <c r="B175" s="5" t="s">
        <v>443</v>
      </c>
      <c r="C175" s="5" t="s">
        <v>373</v>
      </c>
      <c r="D175" s="5" t="s">
        <v>421</v>
      </c>
      <c r="E175" s="5" t="s">
        <v>444</v>
      </c>
      <c r="F175" s="5" t="s">
        <v>445</v>
      </c>
      <c r="G175" s="6" t="s">
        <v>6</v>
      </c>
      <c r="H175" s="18">
        <v>4</v>
      </c>
    </row>
    <row r="176" spans="1:8" x14ac:dyDescent="0.25">
      <c r="A176" s="6">
        <v>173</v>
      </c>
      <c r="B176" s="5" t="s">
        <v>446</v>
      </c>
      <c r="C176" s="5" t="s">
        <v>373</v>
      </c>
      <c r="D176" s="5" t="s">
        <v>421</v>
      </c>
      <c r="E176" s="5" t="s">
        <v>447</v>
      </c>
      <c r="F176" s="5" t="s">
        <v>253</v>
      </c>
      <c r="G176" s="6" t="s">
        <v>6</v>
      </c>
      <c r="H176" s="18">
        <v>4</v>
      </c>
    </row>
    <row r="177" spans="1:8" x14ac:dyDescent="0.25">
      <c r="A177" s="6">
        <v>174</v>
      </c>
      <c r="B177" s="5" t="s">
        <v>448</v>
      </c>
      <c r="C177" s="5" t="s">
        <v>373</v>
      </c>
      <c r="D177" s="5" t="s">
        <v>449</v>
      </c>
      <c r="E177" s="5" t="s">
        <v>450</v>
      </c>
      <c r="F177" s="5" t="s">
        <v>451</v>
      </c>
      <c r="G177" s="6" t="s">
        <v>6</v>
      </c>
      <c r="H177" s="18">
        <v>5</v>
      </c>
    </row>
    <row r="178" spans="1:8" x14ac:dyDescent="0.25">
      <c r="A178" s="6">
        <v>175</v>
      </c>
      <c r="B178" s="5" t="s">
        <v>452</v>
      </c>
      <c r="C178" s="5" t="s">
        <v>373</v>
      </c>
      <c r="D178" s="5" t="s">
        <v>449</v>
      </c>
      <c r="E178" s="5" t="s">
        <v>453</v>
      </c>
      <c r="F178" s="5" t="s">
        <v>92</v>
      </c>
      <c r="G178" s="6" t="s">
        <v>6</v>
      </c>
      <c r="H178" s="18">
        <v>5</v>
      </c>
    </row>
    <row r="179" spans="1:8" x14ac:dyDescent="0.25">
      <c r="A179" s="6">
        <v>176</v>
      </c>
      <c r="B179" s="5" t="s">
        <v>454</v>
      </c>
      <c r="C179" s="5" t="s">
        <v>373</v>
      </c>
      <c r="D179" s="5" t="s">
        <v>449</v>
      </c>
      <c r="E179" s="5" t="s">
        <v>455</v>
      </c>
      <c r="F179" s="5" t="s">
        <v>102</v>
      </c>
      <c r="G179" s="6" t="s">
        <v>6</v>
      </c>
      <c r="H179" s="18">
        <v>4</v>
      </c>
    </row>
    <row r="180" spans="1:8" x14ac:dyDescent="0.25">
      <c r="A180" s="6">
        <v>177</v>
      </c>
      <c r="B180" s="5" t="s">
        <v>456</v>
      </c>
      <c r="C180" s="5" t="s">
        <v>373</v>
      </c>
      <c r="D180" s="5" t="s">
        <v>449</v>
      </c>
      <c r="E180" s="5" t="s">
        <v>457</v>
      </c>
      <c r="F180" s="5" t="s">
        <v>60</v>
      </c>
      <c r="G180" s="6" t="s">
        <v>6</v>
      </c>
      <c r="H180" s="18">
        <v>4</v>
      </c>
    </row>
    <row r="181" spans="1:8" x14ac:dyDescent="0.25">
      <c r="A181" s="6">
        <v>178</v>
      </c>
      <c r="B181" s="5" t="s">
        <v>458</v>
      </c>
      <c r="C181" s="5" t="s">
        <v>373</v>
      </c>
      <c r="D181" s="5" t="s">
        <v>449</v>
      </c>
      <c r="E181" s="5" t="s">
        <v>459</v>
      </c>
      <c r="F181" s="5" t="s">
        <v>406</v>
      </c>
      <c r="G181" s="6" t="s">
        <v>6</v>
      </c>
      <c r="H181" s="18">
        <v>4</v>
      </c>
    </row>
    <row r="182" spans="1:8" x14ac:dyDescent="0.25">
      <c r="A182" s="6">
        <v>179</v>
      </c>
      <c r="B182" s="5" t="s">
        <v>460</v>
      </c>
      <c r="C182" s="5" t="s">
        <v>373</v>
      </c>
      <c r="D182" s="5" t="s">
        <v>449</v>
      </c>
      <c r="E182" s="5" t="s">
        <v>461</v>
      </c>
      <c r="F182" s="5" t="s">
        <v>462</v>
      </c>
      <c r="G182" s="6" t="s">
        <v>6</v>
      </c>
      <c r="H182" s="18">
        <v>5</v>
      </c>
    </row>
    <row r="183" spans="1:8" x14ac:dyDescent="0.25">
      <c r="A183" s="6">
        <v>180</v>
      </c>
      <c r="B183" s="5" t="s">
        <v>463</v>
      </c>
      <c r="C183" s="5" t="s">
        <v>373</v>
      </c>
      <c r="D183" s="5" t="s">
        <v>449</v>
      </c>
      <c r="E183" s="5" t="s">
        <v>464</v>
      </c>
      <c r="F183" s="5" t="s">
        <v>82</v>
      </c>
      <c r="G183" s="6" t="s">
        <v>6</v>
      </c>
      <c r="H183" s="18">
        <v>5</v>
      </c>
    </row>
    <row r="184" spans="1:8" x14ac:dyDescent="0.25">
      <c r="A184" s="6">
        <v>181</v>
      </c>
      <c r="B184" s="5" t="s">
        <v>465</v>
      </c>
      <c r="C184" s="5" t="s">
        <v>373</v>
      </c>
      <c r="D184" s="5" t="s">
        <v>449</v>
      </c>
      <c r="E184" s="5" t="s">
        <v>466</v>
      </c>
      <c r="F184" s="5" t="s">
        <v>60</v>
      </c>
      <c r="G184" s="6" t="s">
        <v>6</v>
      </c>
      <c r="H184" s="18">
        <v>4</v>
      </c>
    </row>
    <row r="185" spans="1:8" x14ac:dyDescent="0.25">
      <c r="A185" s="6">
        <v>182</v>
      </c>
      <c r="B185" s="5" t="s">
        <v>467</v>
      </c>
      <c r="C185" s="5" t="s">
        <v>373</v>
      </c>
      <c r="D185" s="5" t="s">
        <v>468</v>
      </c>
      <c r="E185" s="5" t="s">
        <v>469</v>
      </c>
      <c r="F185" s="5" t="s">
        <v>470</v>
      </c>
      <c r="G185" s="6" t="s">
        <v>6</v>
      </c>
      <c r="H185" s="18">
        <v>4</v>
      </c>
    </row>
    <row r="186" spans="1:8" x14ac:dyDescent="0.25">
      <c r="A186" s="6">
        <v>183</v>
      </c>
      <c r="B186" s="5" t="s">
        <v>471</v>
      </c>
      <c r="C186" s="5" t="s">
        <v>373</v>
      </c>
      <c r="D186" s="5" t="s">
        <v>468</v>
      </c>
      <c r="E186" s="5" t="s">
        <v>472</v>
      </c>
      <c r="F186" s="5" t="s">
        <v>473</v>
      </c>
      <c r="G186" s="6" t="s">
        <v>6</v>
      </c>
      <c r="H186" s="18">
        <v>3</v>
      </c>
    </row>
    <row r="187" spans="1:8" x14ac:dyDescent="0.25">
      <c r="A187" s="6">
        <v>184</v>
      </c>
      <c r="B187" s="5" t="s">
        <v>474</v>
      </c>
      <c r="C187" s="5" t="s">
        <v>373</v>
      </c>
      <c r="D187" s="5" t="s">
        <v>468</v>
      </c>
      <c r="E187" s="5" t="s">
        <v>475</v>
      </c>
      <c r="F187" s="5" t="s">
        <v>82</v>
      </c>
      <c r="G187" s="6" t="s">
        <v>6</v>
      </c>
      <c r="H187" s="18">
        <v>3</v>
      </c>
    </row>
    <row r="188" spans="1:8" x14ac:dyDescent="0.25">
      <c r="A188" s="6">
        <v>185</v>
      </c>
      <c r="B188" s="5" t="s">
        <v>474</v>
      </c>
      <c r="C188" s="5" t="s">
        <v>373</v>
      </c>
      <c r="D188" s="5" t="s">
        <v>468</v>
      </c>
      <c r="E188" s="5" t="s">
        <v>476</v>
      </c>
      <c r="F188" s="5" t="s">
        <v>82</v>
      </c>
      <c r="G188" s="6" t="s">
        <v>6</v>
      </c>
      <c r="H188" s="18">
        <v>2</v>
      </c>
    </row>
    <row r="189" spans="1:8" x14ac:dyDescent="0.25">
      <c r="A189" s="6">
        <v>186</v>
      </c>
      <c r="B189" s="5" t="s">
        <v>477</v>
      </c>
      <c r="C189" s="5" t="s">
        <v>373</v>
      </c>
      <c r="D189" s="5" t="s">
        <v>478</v>
      </c>
      <c r="E189" s="5" t="s">
        <v>479</v>
      </c>
      <c r="F189" s="5" t="s">
        <v>102</v>
      </c>
      <c r="G189" s="6" t="s">
        <v>6</v>
      </c>
      <c r="H189" s="18">
        <v>3</v>
      </c>
    </row>
    <row r="190" spans="1:8" x14ac:dyDescent="0.25">
      <c r="A190" s="6">
        <v>187</v>
      </c>
      <c r="B190" s="5" t="s">
        <v>480</v>
      </c>
      <c r="C190" s="5" t="s">
        <v>373</v>
      </c>
      <c r="D190" s="5" t="s">
        <v>478</v>
      </c>
      <c r="E190" s="5" t="s">
        <v>481</v>
      </c>
      <c r="F190" s="5" t="s">
        <v>60</v>
      </c>
      <c r="G190" s="6" t="s">
        <v>6</v>
      </c>
      <c r="H190" s="18">
        <v>2</v>
      </c>
    </row>
    <row r="191" spans="1:8" x14ac:dyDescent="0.25">
      <c r="A191" s="6">
        <v>188</v>
      </c>
      <c r="B191" s="5" t="s">
        <v>482</v>
      </c>
      <c r="C191" s="5" t="s">
        <v>373</v>
      </c>
      <c r="D191" s="5" t="s">
        <v>478</v>
      </c>
      <c r="E191" s="5" t="s">
        <v>483</v>
      </c>
      <c r="F191" s="5" t="s">
        <v>484</v>
      </c>
      <c r="G191" s="6" t="s">
        <v>6</v>
      </c>
      <c r="H191" s="18">
        <v>5</v>
      </c>
    </row>
    <row r="192" spans="1:8" x14ac:dyDescent="0.25">
      <c r="A192" s="6">
        <v>189</v>
      </c>
      <c r="B192" s="5" t="s">
        <v>485</v>
      </c>
      <c r="C192" s="5" t="s">
        <v>373</v>
      </c>
      <c r="D192" s="5" t="s">
        <v>478</v>
      </c>
      <c r="E192" s="5" t="s">
        <v>486</v>
      </c>
      <c r="F192" s="5" t="s">
        <v>280</v>
      </c>
      <c r="G192" s="6" t="s">
        <v>6</v>
      </c>
      <c r="H192" s="18">
        <v>3</v>
      </c>
    </row>
    <row r="193" spans="1:8" x14ac:dyDescent="0.25">
      <c r="A193" s="6">
        <v>190</v>
      </c>
      <c r="B193" s="5" t="s">
        <v>487</v>
      </c>
      <c r="C193" s="5" t="s">
        <v>373</v>
      </c>
      <c r="D193" s="5" t="s">
        <v>478</v>
      </c>
      <c r="E193" s="5" t="s">
        <v>488</v>
      </c>
      <c r="F193" s="5" t="s">
        <v>489</v>
      </c>
      <c r="G193" s="6" t="s">
        <v>6</v>
      </c>
      <c r="H193" s="18">
        <v>3</v>
      </c>
    </row>
    <row r="194" spans="1:8" x14ac:dyDescent="0.25">
      <c r="A194" s="6">
        <v>191</v>
      </c>
      <c r="B194" s="5" t="s">
        <v>490</v>
      </c>
      <c r="C194" s="5" t="s">
        <v>491</v>
      </c>
      <c r="D194" s="5" t="s">
        <v>492</v>
      </c>
      <c r="E194" s="5" t="s">
        <v>493</v>
      </c>
      <c r="F194" s="5" t="s">
        <v>494</v>
      </c>
      <c r="G194" s="6" t="s">
        <v>6</v>
      </c>
      <c r="H194" s="18">
        <v>116</v>
      </c>
    </row>
    <row r="195" spans="1:8" x14ac:dyDescent="0.25">
      <c r="A195" s="6">
        <v>192</v>
      </c>
      <c r="B195" s="5" t="s">
        <v>495</v>
      </c>
      <c r="C195" s="5" t="s">
        <v>491</v>
      </c>
      <c r="D195" s="5" t="s">
        <v>492</v>
      </c>
      <c r="E195" s="5" t="s">
        <v>496</v>
      </c>
      <c r="F195" s="5" t="s">
        <v>497</v>
      </c>
      <c r="G195" s="6" t="s">
        <v>6</v>
      </c>
      <c r="H195" s="18">
        <v>10</v>
      </c>
    </row>
    <row r="196" spans="1:8" x14ac:dyDescent="0.25">
      <c r="A196" s="6">
        <v>193</v>
      </c>
      <c r="B196" s="5" t="s">
        <v>498</v>
      </c>
      <c r="C196" s="5" t="s">
        <v>491</v>
      </c>
      <c r="D196" s="5" t="s">
        <v>492</v>
      </c>
      <c r="E196" s="5" t="s">
        <v>499</v>
      </c>
      <c r="F196" s="5" t="s">
        <v>102</v>
      </c>
      <c r="G196" s="6" t="s">
        <v>6</v>
      </c>
      <c r="H196" s="18">
        <v>9</v>
      </c>
    </row>
    <row r="197" spans="1:8" x14ac:dyDescent="0.25">
      <c r="A197" s="6">
        <v>194</v>
      </c>
      <c r="B197" s="5" t="s">
        <v>500</v>
      </c>
      <c r="C197" s="5" t="s">
        <v>491</v>
      </c>
      <c r="D197" s="5" t="s">
        <v>492</v>
      </c>
      <c r="E197" s="5" t="s">
        <v>501</v>
      </c>
      <c r="F197" s="5" t="s">
        <v>102</v>
      </c>
      <c r="G197" s="6" t="s">
        <v>6</v>
      </c>
      <c r="H197" s="18">
        <v>12</v>
      </c>
    </row>
    <row r="198" spans="1:8" x14ac:dyDescent="0.25">
      <c r="A198" s="6">
        <v>195</v>
      </c>
      <c r="B198" s="5" t="s">
        <v>502</v>
      </c>
      <c r="C198" s="5" t="s">
        <v>491</v>
      </c>
      <c r="D198" s="5" t="s">
        <v>492</v>
      </c>
      <c r="E198" s="5" t="s">
        <v>503</v>
      </c>
      <c r="F198" s="5" t="s">
        <v>102</v>
      </c>
      <c r="G198" s="6" t="s">
        <v>6</v>
      </c>
      <c r="H198" s="18">
        <v>6</v>
      </c>
    </row>
    <row r="199" spans="1:8" x14ac:dyDescent="0.25">
      <c r="A199" s="6">
        <v>196</v>
      </c>
      <c r="B199" s="5" t="s">
        <v>504</v>
      </c>
      <c r="C199" s="5" t="s">
        <v>491</v>
      </c>
      <c r="D199" s="5" t="s">
        <v>492</v>
      </c>
      <c r="E199" s="5" t="s">
        <v>505</v>
      </c>
      <c r="F199" s="5" t="s">
        <v>102</v>
      </c>
      <c r="G199" s="6" t="s">
        <v>6</v>
      </c>
      <c r="H199" s="18">
        <v>6</v>
      </c>
    </row>
    <row r="200" spans="1:8" x14ac:dyDescent="0.25">
      <c r="A200" s="6">
        <v>197</v>
      </c>
      <c r="B200" s="5" t="s">
        <v>506</v>
      </c>
      <c r="C200" s="5" t="s">
        <v>491</v>
      </c>
      <c r="D200" s="5" t="s">
        <v>492</v>
      </c>
      <c r="E200" s="5" t="s">
        <v>507</v>
      </c>
      <c r="F200" s="5" t="s">
        <v>102</v>
      </c>
      <c r="G200" s="6" t="s">
        <v>6</v>
      </c>
      <c r="H200" s="18">
        <v>5</v>
      </c>
    </row>
    <row r="201" spans="1:8" x14ac:dyDescent="0.25">
      <c r="A201" s="6">
        <v>198</v>
      </c>
      <c r="B201" s="5" t="s">
        <v>508</v>
      </c>
      <c r="C201" s="5" t="s">
        <v>491</v>
      </c>
      <c r="D201" s="5" t="s">
        <v>492</v>
      </c>
      <c r="E201" s="5" t="s">
        <v>509</v>
      </c>
      <c r="F201" s="5" t="s">
        <v>102</v>
      </c>
      <c r="G201" s="6" t="s">
        <v>6</v>
      </c>
      <c r="H201" s="18">
        <v>5</v>
      </c>
    </row>
    <row r="202" spans="1:8" x14ac:dyDescent="0.25">
      <c r="A202" s="6">
        <v>199</v>
      </c>
      <c r="B202" s="5" t="s">
        <v>510</v>
      </c>
      <c r="C202" s="5" t="s">
        <v>491</v>
      </c>
      <c r="D202" s="5" t="s">
        <v>492</v>
      </c>
      <c r="E202" s="5" t="s">
        <v>511</v>
      </c>
      <c r="F202" s="5" t="s">
        <v>512</v>
      </c>
      <c r="G202" s="6" t="s">
        <v>6</v>
      </c>
      <c r="H202" s="18">
        <v>9</v>
      </c>
    </row>
    <row r="203" spans="1:8" x14ac:dyDescent="0.25">
      <c r="A203" s="6">
        <v>200</v>
      </c>
      <c r="B203" s="5" t="s">
        <v>513</v>
      </c>
      <c r="C203" s="5" t="s">
        <v>491</v>
      </c>
      <c r="D203" s="5" t="s">
        <v>492</v>
      </c>
      <c r="E203" s="5" t="s">
        <v>514</v>
      </c>
      <c r="F203" s="5" t="s">
        <v>515</v>
      </c>
      <c r="G203" s="6" t="s">
        <v>6</v>
      </c>
      <c r="H203" s="18">
        <v>33</v>
      </c>
    </row>
    <row r="204" spans="1:8" x14ac:dyDescent="0.25">
      <c r="A204" s="6">
        <v>201</v>
      </c>
      <c r="B204" s="5" t="s">
        <v>516</v>
      </c>
      <c r="C204" s="5" t="s">
        <v>491</v>
      </c>
      <c r="D204" s="5" t="s">
        <v>492</v>
      </c>
      <c r="E204" s="5" t="s">
        <v>517</v>
      </c>
      <c r="F204" s="5" t="s">
        <v>102</v>
      </c>
      <c r="G204" s="6" t="s">
        <v>6</v>
      </c>
      <c r="H204" s="18">
        <v>9</v>
      </c>
    </row>
    <row r="205" spans="1:8" x14ac:dyDescent="0.25">
      <c r="A205" s="6">
        <v>202</v>
      </c>
      <c r="B205" s="5" t="s">
        <v>518</v>
      </c>
      <c r="C205" s="5" t="s">
        <v>491</v>
      </c>
      <c r="D205" s="5" t="s">
        <v>492</v>
      </c>
      <c r="E205" s="5" t="s">
        <v>187</v>
      </c>
      <c r="F205" s="5" t="s">
        <v>82</v>
      </c>
      <c r="G205" s="6" t="s">
        <v>6</v>
      </c>
      <c r="H205" s="18">
        <v>9</v>
      </c>
    </row>
    <row r="206" spans="1:8" x14ac:dyDescent="0.25">
      <c r="A206" s="6">
        <v>203</v>
      </c>
      <c r="B206" s="5" t="s">
        <v>519</v>
      </c>
      <c r="C206" s="5" t="s">
        <v>491</v>
      </c>
      <c r="D206" s="5" t="s">
        <v>492</v>
      </c>
      <c r="E206" s="5" t="s">
        <v>520</v>
      </c>
      <c r="F206" s="5" t="s">
        <v>92</v>
      </c>
      <c r="G206" s="6" t="s">
        <v>6</v>
      </c>
      <c r="H206" s="18">
        <v>9</v>
      </c>
    </row>
    <row r="207" spans="1:8" x14ac:dyDescent="0.25">
      <c r="A207" s="6">
        <v>204</v>
      </c>
      <c r="B207" s="5" t="s">
        <v>521</v>
      </c>
      <c r="C207" s="5" t="s">
        <v>491</v>
      </c>
      <c r="D207" s="5" t="s">
        <v>492</v>
      </c>
      <c r="E207" s="5" t="s">
        <v>522</v>
      </c>
      <c r="F207" s="5" t="s">
        <v>79</v>
      </c>
      <c r="G207" s="6" t="s">
        <v>6</v>
      </c>
      <c r="H207" s="18">
        <v>5</v>
      </c>
    </row>
    <row r="208" spans="1:8" x14ac:dyDescent="0.25">
      <c r="A208" s="6">
        <v>205</v>
      </c>
      <c r="B208" s="5" t="s">
        <v>523</v>
      </c>
      <c r="C208" s="5" t="s">
        <v>524</v>
      </c>
      <c r="D208" s="5" t="s">
        <v>525</v>
      </c>
      <c r="E208" s="5" t="s">
        <v>526</v>
      </c>
      <c r="F208" s="5" t="s">
        <v>527</v>
      </c>
      <c r="G208" s="6" t="s">
        <v>6</v>
      </c>
      <c r="H208" s="18">
        <v>77</v>
      </c>
    </row>
    <row r="209" spans="1:8" x14ac:dyDescent="0.25">
      <c r="A209" s="6">
        <v>206</v>
      </c>
      <c r="B209" s="5" t="s">
        <v>528</v>
      </c>
      <c r="C209" s="5" t="s">
        <v>524</v>
      </c>
      <c r="D209" s="5" t="s">
        <v>525</v>
      </c>
      <c r="E209" s="5" t="s">
        <v>529</v>
      </c>
      <c r="F209" s="5" t="s">
        <v>60</v>
      </c>
      <c r="G209" s="6" t="s">
        <v>6</v>
      </c>
      <c r="H209" s="18">
        <v>7</v>
      </c>
    </row>
    <row r="210" spans="1:8" x14ac:dyDescent="0.25">
      <c r="A210" s="6">
        <v>207</v>
      </c>
      <c r="B210" s="5" t="s">
        <v>530</v>
      </c>
      <c r="C210" s="5" t="s">
        <v>524</v>
      </c>
      <c r="D210" s="5" t="s">
        <v>525</v>
      </c>
      <c r="E210" s="5" t="s">
        <v>531</v>
      </c>
      <c r="F210" s="5" t="s">
        <v>532</v>
      </c>
      <c r="G210" s="6" t="s">
        <v>6</v>
      </c>
      <c r="H210" s="18">
        <v>31</v>
      </c>
    </row>
    <row r="211" spans="1:8" x14ac:dyDescent="0.25">
      <c r="A211" s="6">
        <v>208</v>
      </c>
      <c r="B211" s="5" t="s">
        <v>533</v>
      </c>
      <c r="C211" s="5" t="s">
        <v>524</v>
      </c>
      <c r="D211" s="5" t="s">
        <v>525</v>
      </c>
      <c r="E211" s="5" t="s">
        <v>534</v>
      </c>
      <c r="F211" s="5" t="s">
        <v>535</v>
      </c>
      <c r="G211" s="6" t="s">
        <v>6</v>
      </c>
      <c r="H211" s="18">
        <v>9</v>
      </c>
    </row>
    <row r="212" spans="1:8" x14ac:dyDescent="0.25">
      <c r="A212" s="6">
        <v>209</v>
      </c>
      <c r="B212" s="5" t="s">
        <v>536</v>
      </c>
      <c r="C212" s="5" t="s">
        <v>524</v>
      </c>
      <c r="D212" s="5" t="s">
        <v>525</v>
      </c>
      <c r="E212" s="5" t="s">
        <v>537</v>
      </c>
      <c r="F212" s="5" t="s">
        <v>538</v>
      </c>
      <c r="G212" s="6" t="s">
        <v>6</v>
      </c>
      <c r="H212" s="18">
        <v>10</v>
      </c>
    </row>
    <row r="213" spans="1:8" x14ac:dyDescent="0.25">
      <c r="A213" s="6">
        <v>210</v>
      </c>
      <c r="B213" s="5" t="s">
        <v>539</v>
      </c>
      <c r="C213" s="5" t="s">
        <v>524</v>
      </c>
      <c r="D213" s="5" t="s">
        <v>525</v>
      </c>
      <c r="E213" s="5" t="s">
        <v>540</v>
      </c>
      <c r="F213" s="5" t="s">
        <v>538</v>
      </c>
      <c r="G213" s="6" t="s">
        <v>6</v>
      </c>
      <c r="H213" s="18">
        <v>7</v>
      </c>
    </row>
    <row r="214" spans="1:8" x14ac:dyDescent="0.25">
      <c r="A214" s="6">
        <v>211</v>
      </c>
      <c r="B214" s="5" t="s">
        <v>541</v>
      </c>
      <c r="C214" s="5" t="s">
        <v>524</v>
      </c>
      <c r="D214" s="5" t="s">
        <v>525</v>
      </c>
      <c r="E214" s="5" t="s">
        <v>542</v>
      </c>
      <c r="F214" s="5" t="s">
        <v>538</v>
      </c>
      <c r="G214" s="6" t="s">
        <v>6</v>
      </c>
      <c r="H214" s="18">
        <v>9</v>
      </c>
    </row>
    <row r="215" spans="1:8" x14ac:dyDescent="0.25">
      <c r="A215" s="6">
        <v>212</v>
      </c>
      <c r="B215" s="5" t="s">
        <v>543</v>
      </c>
      <c r="C215" s="5" t="s">
        <v>524</v>
      </c>
      <c r="D215" s="5" t="s">
        <v>525</v>
      </c>
      <c r="E215" s="5" t="s">
        <v>544</v>
      </c>
      <c r="F215" s="5" t="s">
        <v>538</v>
      </c>
      <c r="G215" s="6" t="s">
        <v>6</v>
      </c>
      <c r="H215" s="18">
        <v>7</v>
      </c>
    </row>
    <row r="216" spans="1:8" x14ac:dyDescent="0.25">
      <c r="A216" s="6">
        <v>213</v>
      </c>
      <c r="B216" s="5" t="s">
        <v>545</v>
      </c>
      <c r="C216" s="5" t="s">
        <v>524</v>
      </c>
      <c r="D216" s="5" t="s">
        <v>525</v>
      </c>
      <c r="E216" s="5" t="s">
        <v>546</v>
      </c>
      <c r="F216" s="5" t="s">
        <v>538</v>
      </c>
      <c r="G216" s="6" t="s">
        <v>6</v>
      </c>
      <c r="H216" s="18">
        <v>8</v>
      </c>
    </row>
    <row r="217" spans="1:8" x14ac:dyDescent="0.25">
      <c r="A217" s="6">
        <v>214</v>
      </c>
      <c r="B217" s="5" t="s">
        <v>547</v>
      </c>
      <c r="C217" s="5" t="s">
        <v>524</v>
      </c>
      <c r="D217" s="5" t="s">
        <v>525</v>
      </c>
      <c r="E217" s="5" t="s">
        <v>548</v>
      </c>
      <c r="F217" s="5" t="s">
        <v>538</v>
      </c>
      <c r="G217" s="6" t="s">
        <v>6</v>
      </c>
      <c r="H217" s="18">
        <v>6</v>
      </c>
    </row>
    <row r="218" spans="1:8" x14ac:dyDescent="0.25">
      <c r="A218" s="6">
        <v>215</v>
      </c>
      <c r="B218" s="5" t="s">
        <v>549</v>
      </c>
      <c r="C218" s="5" t="s">
        <v>524</v>
      </c>
      <c r="D218" s="5" t="s">
        <v>525</v>
      </c>
      <c r="E218" s="5" t="s">
        <v>550</v>
      </c>
      <c r="F218" s="5" t="s">
        <v>538</v>
      </c>
      <c r="G218" s="6" t="s">
        <v>6</v>
      </c>
      <c r="H218" s="18">
        <v>5</v>
      </c>
    </row>
    <row r="219" spans="1:8" x14ac:dyDescent="0.25">
      <c r="A219" s="6">
        <v>216</v>
      </c>
      <c r="B219" s="5" t="s">
        <v>551</v>
      </c>
      <c r="C219" s="5" t="s">
        <v>524</v>
      </c>
      <c r="D219" s="5" t="s">
        <v>525</v>
      </c>
      <c r="E219" s="5" t="s">
        <v>552</v>
      </c>
      <c r="F219" s="5" t="s">
        <v>553</v>
      </c>
      <c r="G219" s="6" t="s">
        <v>6</v>
      </c>
      <c r="H219" s="18">
        <v>7</v>
      </c>
    </row>
    <row r="220" spans="1:8" x14ac:dyDescent="0.25">
      <c r="A220" s="6">
        <v>217</v>
      </c>
      <c r="B220" s="5" t="s">
        <v>554</v>
      </c>
      <c r="C220" s="5" t="s">
        <v>524</v>
      </c>
      <c r="D220" s="5" t="s">
        <v>525</v>
      </c>
      <c r="E220" s="5" t="s">
        <v>555</v>
      </c>
      <c r="F220" s="5" t="s">
        <v>102</v>
      </c>
      <c r="G220" s="6" t="s">
        <v>6</v>
      </c>
      <c r="H220" s="18">
        <v>10</v>
      </c>
    </row>
    <row r="221" spans="1:8" x14ac:dyDescent="0.25">
      <c r="A221" s="6">
        <v>218</v>
      </c>
      <c r="B221" s="5" t="s">
        <v>556</v>
      </c>
      <c r="C221" s="5" t="s">
        <v>524</v>
      </c>
      <c r="D221" s="5" t="s">
        <v>525</v>
      </c>
      <c r="E221" s="5" t="s">
        <v>557</v>
      </c>
      <c r="F221" s="5" t="s">
        <v>558</v>
      </c>
      <c r="G221" s="6" t="s">
        <v>6</v>
      </c>
      <c r="H221" s="18">
        <v>5</v>
      </c>
    </row>
    <row r="222" spans="1:8" x14ac:dyDescent="0.25">
      <c r="A222" s="6">
        <v>219</v>
      </c>
      <c r="B222" s="5" t="s">
        <v>559</v>
      </c>
      <c r="C222" s="5" t="s">
        <v>524</v>
      </c>
      <c r="D222" s="5" t="s">
        <v>525</v>
      </c>
      <c r="E222" s="5" t="s">
        <v>560</v>
      </c>
      <c r="F222" s="5" t="s">
        <v>561</v>
      </c>
      <c r="G222" s="6" t="s">
        <v>6</v>
      </c>
      <c r="H222" s="18">
        <v>5</v>
      </c>
    </row>
    <row r="223" spans="1:8" x14ac:dyDescent="0.25">
      <c r="A223" s="6">
        <v>220</v>
      </c>
      <c r="B223" s="5" t="s">
        <v>562</v>
      </c>
      <c r="C223" s="5" t="s">
        <v>524</v>
      </c>
      <c r="D223" s="5" t="s">
        <v>525</v>
      </c>
      <c r="E223" s="5" t="s">
        <v>563</v>
      </c>
      <c r="F223" s="5" t="s">
        <v>564</v>
      </c>
      <c r="G223" s="6" t="s">
        <v>6</v>
      </c>
      <c r="H223" s="18">
        <v>29</v>
      </c>
    </row>
    <row r="224" spans="1:8" x14ac:dyDescent="0.25">
      <c r="A224" s="6">
        <v>221</v>
      </c>
      <c r="B224" s="5" t="s">
        <v>565</v>
      </c>
      <c r="C224" s="5" t="s">
        <v>524</v>
      </c>
      <c r="D224" s="5" t="s">
        <v>525</v>
      </c>
      <c r="E224" s="5" t="s">
        <v>566</v>
      </c>
      <c r="F224" s="5" t="s">
        <v>567</v>
      </c>
      <c r="G224" s="6" t="s">
        <v>6</v>
      </c>
      <c r="H224" s="18">
        <v>11</v>
      </c>
    </row>
    <row r="225" spans="1:8" x14ac:dyDescent="0.25">
      <c r="A225" s="6">
        <v>222</v>
      </c>
      <c r="B225" s="5" t="s">
        <v>568</v>
      </c>
      <c r="C225" s="5" t="s">
        <v>524</v>
      </c>
      <c r="D225" s="5" t="s">
        <v>569</v>
      </c>
      <c r="E225" s="5" t="s">
        <v>570</v>
      </c>
      <c r="F225" s="5" t="s">
        <v>571</v>
      </c>
      <c r="G225" s="6" t="s">
        <v>6</v>
      </c>
      <c r="H225" s="18">
        <v>5</v>
      </c>
    </row>
    <row r="226" spans="1:8" x14ac:dyDescent="0.25">
      <c r="A226" s="6">
        <v>223</v>
      </c>
      <c r="B226" s="5" t="s">
        <v>572</v>
      </c>
      <c r="C226" s="5" t="s">
        <v>524</v>
      </c>
      <c r="D226" s="5" t="s">
        <v>569</v>
      </c>
      <c r="E226" s="5" t="s">
        <v>573</v>
      </c>
      <c r="F226" s="5" t="s">
        <v>277</v>
      </c>
      <c r="G226" s="6" t="s">
        <v>6</v>
      </c>
      <c r="H226" s="18">
        <v>5</v>
      </c>
    </row>
    <row r="227" spans="1:8" x14ac:dyDescent="0.25">
      <c r="A227" s="6">
        <v>224</v>
      </c>
      <c r="B227" s="5" t="s">
        <v>574</v>
      </c>
      <c r="C227" s="5" t="s">
        <v>524</v>
      </c>
      <c r="D227" s="5" t="s">
        <v>569</v>
      </c>
      <c r="E227" s="5" t="s">
        <v>575</v>
      </c>
      <c r="F227" s="5" t="s">
        <v>79</v>
      </c>
      <c r="G227" s="6" t="s">
        <v>6</v>
      </c>
      <c r="H227" s="18">
        <v>5</v>
      </c>
    </row>
    <row r="228" spans="1:8" x14ac:dyDescent="0.25">
      <c r="A228" s="6">
        <v>225</v>
      </c>
      <c r="B228" s="5" t="s">
        <v>576</v>
      </c>
      <c r="C228" s="5" t="s">
        <v>524</v>
      </c>
      <c r="D228" s="5" t="s">
        <v>569</v>
      </c>
      <c r="E228" s="5" t="s">
        <v>577</v>
      </c>
      <c r="F228" s="5" t="s">
        <v>79</v>
      </c>
      <c r="G228" s="6" t="s">
        <v>6</v>
      </c>
      <c r="H228" s="18">
        <v>8</v>
      </c>
    </row>
    <row r="229" spans="1:8" x14ac:dyDescent="0.25">
      <c r="A229" s="6">
        <v>226</v>
      </c>
      <c r="B229" s="5" t="s">
        <v>576</v>
      </c>
      <c r="C229" s="5" t="s">
        <v>524</v>
      </c>
      <c r="D229" s="5" t="s">
        <v>569</v>
      </c>
      <c r="E229" s="5" t="s">
        <v>578</v>
      </c>
      <c r="F229" s="5" t="s">
        <v>79</v>
      </c>
      <c r="G229" s="6" t="s">
        <v>6</v>
      </c>
      <c r="H229" s="18">
        <v>5</v>
      </c>
    </row>
    <row r="230" spans="1:8" x14ac:dyDescent="0.25">
      <c r="A230" s="6">
        <v>227</v>
      </c>
      <c r="B230" s="5" t="s">
        <v>576</v>
      </c>
      <c r="C230" s="5" t="s">
        <v>524</v>
      </c>
      <c r="D230" s="5" t="s">
        <v>569</v>
      </c>
      <c r="E230" s="5" t="s">
        <v>579</v>
      </c>
      <c r="F230" s="5" t="s">
        <v>79</v>
      </c>
      <c r="G230" s="6" t="s">
        <v>6</v>
      </c>
      <c r="H230" s="18">
        <v>5</v>
      </c>
    </row>
    <row r="231" spans="1:8" x14ac:dyDescent="0.25">
      <c r="A231" s="6">
        <v>228</v>
      </c>
      <c r="B231" s="5" t="s">
        <v>580</v>
      </c>
      <c r="C231" s="5" t="s">
        <v>524</v>
      </c>
      <c r="D231" s="5" t="s">
        <v>569</v>
      </c>
      <c r="E231" s="5" t="s">
        <v>581</v>
      </c>
      <c r="F231" s="5" t="s">
        <v>582</v>
      </c>
      <c r="G231" s="6" t="s">
        <v>6</v>
      </c>
      <c r="H231" s="18">
        <v>4</v>
      </c>
    </row>
    <row r="232" spans="1:8" x14ac:dyDescent="0.25">
      <c r="A232" s="6">
        <v>229</v>
      </c>
      <c r="B232" s="5" t="s">
        <v>583</v>
      </c>
      <c r="C232" s="5" t="s">
        <v>524</v>
      </c>
      <c r="D232" s="5" t="s">
        <v>569</v>
      </c>
      <c r="E232" s="5" t="s">
        <v>584</v>
      </c>
      <c r="F232" s="5" t="s">
        <v>585</v>
      </c>
      <c r="G232" s="6" t="s">
        <v>6</v>
      </c>
      <c r="H232" s="18">
        <v>10</v>
      </c>
    </row>
    <row r="233" spans="1:8" x14ac:dyDescent="0.25">
      <c r="A233" s="6">
        <v>230</v>
      </c>
      <c r="B233" s="5" t="s">
        <v>586</v>
      </c>
      <c r="C233" s="5" t="s">
        <v>524</v>
      </c>
      <c r="D233" s="5" t="s">
        <v>587</v>
      </c>
      <c r="E233" s="5" t="s">
        <v>588</v>
      </c>
      <c r="F233" s="5" t="s">
        <v>589</v>
      </c>
      <c r="G233" s="6" t="s">
        <v>6</v>
      </c>
      <c r="H233" s="18">
        <v>11</v>
      </c>
    </row>
    <row r="234" spans="1:8" x14ac:dyDescent="0.25">
      <c r="A234" s="6">
        <v>231</v>
      </c>
      <c r="B234" s="5" t="s">
        <v>590</v>
      </c>
      <c r="C234" s="5" t="s">
        <v>524</v>
      </c>
      <c r="D234" s="5" t="s">
        <v>587</v>
      </c>
      <c r="E234" s="5" t="s">
        <v>591</v>
      </c>
      <c r="F234" s="5" t="s">
        <v>592</v>
      </c>
      <c r="G234" s="6" t="s">
        <v>6</v>
      </c>
      <c r="H234" s="18">
        <v>9</v>
      </c>
    </row>
    <row r="235" spans="1:8" x14ac:dyDescent="0.25">
      <c r="A235" s="6">
        <v>232</v>
      </c>
      <c r="B235" s="5" t="s">
        <v>593</v>
      </c>
      <c r="C235" s="5" t="s">
        <v>524</v>
      </c>
      <c r="D235" s="5" t="s">
        <v>587</v>
      </c>
      <c r="E235" s="5" t="s">
        <v>594</v>
      </c>
      <c r="F235" s="5" t="s">
        <v>102</v>
      </c>
      <c r="G235" s="6" t="s">
        <v>6</v>
      </c>
      <c r="H235" s="18">
        <v>5</v>
      </c>
    </row>
    <row r="236" spans="1:8" x14ac:dyDescent="0.25">
      <c r="A236" s="6">
        <v>233</v>
      </c>
      <c r="B236" s="5" t="s">
        <v>595</v>
      </c>
      <c r="C236" s="5" t="s">
        <v>524</v>
      </c>
      <c r="D236" s="5" t="s">
        <v>587</v>
      </c>
      <c r="E236" s="5" t="s">
        <v>596</v>
      </c>
      <c r="F236" s="5" t="s">
        <v>102</v>
      </c>
      <c r="G236" s="6" t="s">
        <v>6</v>
      </c>
      <c r="H236" s="18">
        <v>6</v>
      </c>
    </row>
    <row r="237" spans="1:8" x14ac:dyDescent="0.25">
      <c r="A237" s="6">
        <v>234</v>
      </c>
      <c r="B237" s="5" t="s">
        <v>597</v>
      </c>
      <c r="C237" s="5" t="s">
        <v>524</v>
      </c>
      <c r="D237" s="5" t="s">
        <v>587</v>
      </c>
      <c r="E237" s="5" t="s">
        <v>598</v>
      </c>
      <c r="F237" s="5" t="s">
        <v>102</v>
      </c>
      <c r="G237" s="6" t="s">
        <v>6</v>
      </c>
      <c r="H237" s="18">
        <v>5</v>
      </c>
    </row>
    <row r="238" spans="1:8" x14ac:dyDescent="0.25">
      <c r="A238" s="6">
        <v>235</v>
      </c>
      <c r="B238" s="5" t="s">
        <v>599</v>
      </c>
      <c r="C238" s="5" t="s">
        <v>524</v>
      </c>
      <c r="D238" s="5" t="s">
        <v>587</v>
      </c>
      <c r="E238" s="5" t="s">
        <v>316</v>
      </c>
      <c r="F238" s="5" t="s">
        <v>102</v>
      </c>
      <c r="G238" s="6" t="s">
        <v>6</v>
      </c>
      <c r="H238" s="18">
        <v>8</v>
      </c>
    </row>
    <row r="239" spans="1:8" x14ac:dyDescent="0.25">
      <c r="A239" s="6">
        <v>236</v>
      </c>
      <c r="B239" s="5" t="s">
        <v>600</v>
      </c>
      <c r="C239" s="5" t="s">
        <v>524</v>
      </c>
      <c r="D239" s="5" t="s">
        <v>587</v>
      </c>
      <c r="E239" s="5" t="s">
        <v>601</v>
      </c>
      <c r="F239" s="5" t="s">
        <v>79</v>
      </c>
      <c r="G239" s="6" t="s">
        <v>6</v>
      </c>
      <c r="H239" s="18">
        <v>18</v>
      </c>
    </row>
    <row r="240" spans="1:8" x14ac:dyDescent="0.25">
      <c r="A240" s="6">
        <v>237</v>
      </c>
      <c r="B240" s="5" t="s">
        <v>602</v>
      </c>
      <c r="C240" s="5" t="s">
        <v>524</v>
      </c>
      <c r="D240" s="5" t="s">
        <v>587</v>
      </c>
      <c r="E240" s="5" t="s">
        <v>233</v>
      </c>
      <c r="F240" s="5" t="s">
        <v>60</v>
      </c>
      <c r="G240" s="6" t="s">
        <v>6</v>
      </c>
      <c r="H240" s="18">
        <v>4</v>
      </c>
    </row>
    <row r="241" spans="1:8" x14ac:dyDescent="0.25">
      <c r="A241" s="6">
        <v>238</v>
      </c>
      <c r="B241" s="5" t="s">
        <v>603</v>
      </c>
      <c r="C241" s="5" t="s">
        <v>524</v>
      </c>
      <c r="D241" s="5" t="s">
        <v>587</v>
      </c>
      <c r="E241" s="5" t="s">
        <v>604</v>
      </c>
      <c r="F241" s="5" t="s">
        <v>79</v>
      </c>
      <c r="G241" s="6" t="s">
        <v>6</v>
      </c>
      <c r="H241" s="18">
        <v>0</v>
      </c>
    </row>
    <row r="242" spans="1:8" x14ac:dyDescent="0.25">
      <c r="A242" s="6">
        <v>239</v>
      </c>
      <c r="B242" s="5" t="s">
        <v>605</v>
      </c>
      <c r="C242" s="5" t="s">
        <v>606</v>
      </c>
      <c r="D242" s="5" t="s">
        <v>19</v>
      </c>
      <c r="E242" s="5" t="s">
        <v>607</v>
      </c>
      <c r="F242" s="5" t="s">
        <v>79</v>
      </c>
      <c r="G242" s="6" t="s">
        <v>6</v>
      </c>
      <c r="H242" s="18">
        <v>15</v>
      </c>
    </row>
    <row r="243" spans="1:8" x14ac:dyDescent="0.25">
      <c r="A243" s="6">
        <v>240</v>
      </c>
      <c r="B243" s="5" t="s">
        <v>608</v>
      </c>
      <c r="C243" s="5" t="s">
        <v>606</v>
      </c>
      <c r="D243" s="5" t="s">
        <v>19</v>
      </c>
      <c r="E243" s="5" t="s">
        <v>609</v>
      </c>
      <c r="F243" s="5" t="s">
        <v>79</v>
      </c>
      <c r="G243" s="6" t="s">
        <v>6</v>
      </c>
      <c r="H243" s="18">
        <v>93</v>
      </c>
    </row>
    <row r="244" spans="1:8" x14ac:dyDescent="0.25">
      <c r="A244" s="6">
        <v>241</v>
      </c>
      <c r="B244" s="5" t="s">
        <v>610</v>
      </c>
      <c r="C244" s="5" t="s">
        <v>606</v>
      </c>
      <c r="D244" s="5" t="s">
        <v>19</v>
      </c>
      <c r="E244" s="5" t="s">
        <v>611</v>
      </c>
      <c r="F244" s="5" t="s">
        <v>612</v>
      </c>
      <c r="G244" s="6" t="s">
        <v>6</v>
      </c>
      <c r="H244" s="18">
        <v>50</v>
      </c>
    </row>
    <row r="245" spans="1:8" x14ac:dyDescent="0.25">
      <c r="A245" s="6">
        <v>242</v>
      </c>
      <c r="B245" s="5" t="s">
        <v>613</v>
      </c>
      <c r="C245" s="5" t="s">
        <v>614</v>
      </c>
      <c r="D245" s="5" t="s">
        <v>615</v>
      </c>
      <c r="E245" s="5" t="s">
        <v>616</v>
      </c>
      <c r="F245" s="5" t="s">
        <v>617</v>
      </c>
      <c r="G245" s="6" t="s">
        <v>6</v>
      </c>
      <c r="H245" s="18">
        <v>111</v>
      </c>
    </row>
    <row r="246" spans="1:8" x14ac:dyDescent="0.25">
      <c r="A246" s="6">
        <v>243</v>
      </c>
      <c r="B246" s="5" t="s">
        <v>618</v>
      </c>
      <c r="C246" s="5" t="s">
        <v>614</v>
      </c>
      <c r="D246" s="5" t="s">
        <v>615</v>
      </c>
      <c r="E246" s="5" t="s">
        <v>619</v>
      </c>
      <c r="F246" s="5" t="s">
        <v>60</v>
      </c>
      <c r="G246" s="6" t="s">
        <v>6</v>
      </c>
      <c r="H246" s="18">
        <v>8</v>
      </c>
    </row>
    <row r="247" spans="1:8" x14ac:dyDescent="0.25">
      <c r="A247" s="6">
        <v>244</v>
      </c>
      <c r="B247" s="5" t="s">
        <v>620</v>
      </c>
      <c r="C247" s="5" t="s">
        <v>614</v>
      </c>
      <c r="D247" s="5" t="s">
        <v>615</v>
      </c>
      <c r="E247" s="5" t="s">
        <v>621</v>
      </c>
      <c r="F247" s="5" t="s">
        <v>622</v>
      </c>
      <c r="G247" s="6" t="s">
        <v>6</v>
      </c>
      <c r="H247" s="18">
        <v>6</v>
      </c>
    </row>
    <row r="248" spans="1:8" x14ac:dyDescent="0.25">
      <c r="A248" s="6">
        <v>245</v>
      </c>
      <c r="B248" s="5" t="s">
        <v>623</v>
      </c>
      <c r="C248" s="5" t="s">
        <v>614</v>
      </c>
      <c r="D248" s="5" t="s">
        <v>615</v>
      </c>
      <c r="E248" s="5" t="s">
        <v>624</v>
      </c>
      <c r="F248" s="5" t="s">
        <v>60</v>
      </c>
      <c r="G248" s="6" t="s">
        <v>6</v>
      </c>
      <c r="H248" s="18">
        <v>6</v>
      </c>
    </row>
    <row r="249" spans="1:8" x14ac:dyDescent="0.25">
      <c r="A249" s="6">
        <v>246</v>
      </c>
      <c r="B249" s="5" t="s">
        <v>625</v>
      </c>
      <c r="C249" s="5" t="s">
        <v>614</v>
      </c>
      <c r="D249" s="5" t="s">
        <v>615</v>
      </c>
      <c r="E249" s="5" t="s">
        <v>626</v>
      </c>
      <c r="F249" s="5" t="s">
        <v>627</v>
      </c>
      <c r="G249" s="6" t="s">
        <v>6</v>
      </c>
      <c r="H249" s="18">
        <v>36</v>
      </c>
    </row>
    <row r="250" spans="1:8" x14ac:dyDescent="0.25">
      <c r="A250" s="6">
        <v>247</v>
      </c>
      <c r="B250" s="5" t="s">
        <v>628</v>
      </c>
      <c r="C250" s="5" t="s">
        <v>614</v>
      </c>
      <c r="D250" s="5" t="s">
        <v>615</v>
      </c>
      <c r="E250" s="5" t="s">
        <v>388</v>
      </c>
      <c r="F250" s="5" t="s">
        <v>102</v>
      </c>
      <c r="G250" s="6" t="s">
        <v>6</v>
      </c>
      <c r="H250" s="18">
        <v>7</v>
      </c>
    </row>
    <row r="251" spans="1:8" x14ac:dyDescent="0.25">
      <c r="A251" s="6">
        <v>248</v>
      </c>
      <c r="B251" s="5" t="s">
        <v>629</v>
      </c>
      <c r="C251" s="5" t="s">
        <v>614</v>
      </c>
      <c r="D251" s="5" t="s">
        <v>615</v>
      </c>
      <c r="E251" s="5" t="s">
        <v>630</v>
      </c>
      <c r="F251" s="5" t="s">
        <v>102</v>
      </c>
      <c r="G251" s="6" t="s">
        <v>6</v>
      </c>
      <c r="H251" s="18">
        <v>6</v>
      </c>
    </row>
    <row r="252" spans="1:8" x14ac:dyDescent="0.25">
      <c r="A252" s="6">
        <v>249</v>
      </c>
      <c r="B252" s="5" t="s">
        <v>631</v>
      </c>
      <c r="C252" s="5" t="s">
        <v>614</v>
      </c>
      <c r="D252" s="5" t="s">
        <v>615</v>
      </c>
      <c r="E252" s="5" t="s">
        <v>632</v>
      </c>
      <c r="F252" s="5" t="s">
        <v>102</v>
      </c>
      <c r="G252" s="6" t="s">
        <v>6</v>
      </c>
      <c r="H252" s="18">
        <v>10</v>
      </c>
    </row>
    <row r="253" spans="1:8" x14ac:dyDescent="0.25">
      <c r="A253" s="6">
        <v>250</v>
      </c>
      <c r="B253" s="5" t="s">
        <v>633</v>
      </c>
      <c r="C253" s="5" t="s">
        <v>614</v>
      </c>
      <c r="D253" s="5" t="s">
        <v>615</v>
      </c>
      <c r="E253" s="5" t="s">
        <v>634</v>
      </c>
      <c r="F253" s="5" t="s">
        <v>102</v>
      </c>
      <c r="G253" s="6" t="s">
        <v>6</v>
      </c>
      <c r="H253" s="18">
        <v>17</v>
      </c>
    </row>
    <row r="254" spans="1:8" x14ac:dyDescent="0.25">
      <c r="A254" s="6">
        <v>251</v>
      </c>
      <c r="B254" s="5" t="s">
        <v>635</v>
      </c>
      <c r="C254" s="5" t="s">
        <v>614</v>
      </c>
      <c r="D254" s="5" t="s">
        <v>615</v>
      </c>
      <c r="E254" s="5" t="s">
        <v>636</v>
      </c>
      <c r="F254" s="5" t="s">
        <v>102</v>
      </c>
      <c r="G254" s="6" t="s">
        <v>6</v>
      </c>
      <c r="H254" s="18">
        <v>9</v>
      </c>
    </row>
    <row r="255" spans="1:8" x14ac:dyDescent="0.25">
      <c r="A255" s="6">
        <v>252</v>
      </c>
      <c r="B255" s="5" t="s">
        <v>637</v>
      </c>
      <c r="C255" s="5" t="s">
        <v>614</v>
      </c>
      <c r="D255" s="5" t="s">
        <v>615</v>
      </c>
      <c r="E255" s="5" t="s">
        <v>638</v>
      </c>
      <c r="F255" s="5" t="s">
        <v>102</v>
      </c>
      <c r="G255" s="6" t="s">
        <v>6</v>
      </c>
      <c r="H255" s="18">
        <v>10</v>
      </c>
    </row>
    <row r="256" spans="1:8" x14ac:dyDescent="0.25">
      <c r="A256" s="6">
        <v>253</v>
      </c>
      <c r="B256" s="5" t="s">
        <v>639</v>
      </c>
      <c r="C256" s="5" t="s">
        <v>614</v>
      </c>
      <c r="D256" s="5" t="s">
        <v>640</v>
      </c>
      <c r="E256" s="5" t="s">
        <v>641</v>
      </c>
      <c r="F256" s="5" t="s">
        <v>642</v>
      </c>
      <c r="G256" s="6" t="s">
        <v>6</v>
      </c>
      <c r="H256" s="18">
        <v>6</v>
      </c>
    </row>
    <row r="257" spans="1:8" x14ac:dyDescent="0.25">
      <c r="A257" s="6">
        <v>254</v>
      </c>
      <c r="B257" s="5" t="s">
        <v>643</v>
      </c>
      <c r="C257" s="5" t="s">
        <v>614</v>
      </c>
      <c r="D257" s="5" t="s">
        <v>640</v>
      </c>
      <c r="E257" s="5" t="s">
        <v>644</v>
      </c>
      <c r="F257" s="5" t="s">
        <v>645</v>
      </c>
      <c r="G257" s="6" t="s">
        <v>6</v>
      </c>
      <c r="H257" s="18">
        <v>14</v>
      </c>
    </row>
    <row r="258" spans="1:8" x14ac:dyDescent="0.25">
      <c r="A258" s="6">
        <v>255</v>
      </c>
      <c r="B258" s="5" t="s">
        <v>646</v>
      </c>
      <c r="C258" s="5" t="s">
        <v>614</v>
      </c>
      <c r="D258" s="5" t="s">
        <v>640</v>
      </c>
      <c r="E258" s="5" t="s">
        <v>647</v>
      </c>
      <c r="F258" s="5" t="s">
        <v>102</v>
      </c>
      <c r="G258" s="6" t="s">
        <v>6</v>
      </c>
      <c r="H258" s="18">
        <v>5</v>
      </c>
    </row>
    <row r="259" spans="1:8" x14ac:dyDescent="0.25">
      <c r="A259" s="6">
        <v>256</v>
      </c>
      <c r="B259" s="5" t="s">
        <v>648</v>
      </c>
      <c r="C259" s="5" t="s">
        <v>614</v>
      </c>
      <c r="D259" s="5" t="s">
        <v>640</v>
      </c>
      <c r="E259" s="5" t="s">
        <v>649</v>
      </c>
      <c r="F259" s="5" t="s">
        <v>650</v>
      </c>
      <c r="G259" s="6" t="s">
        <v>6</v>
      </c>
      <c r="H259" s="18">
        <v>5</v>
      </c>
    </row>
    <row r="260" spans="1:8" x14ac:dyDescent="0.25">
      <c r="A260" s="6">
        <v>257</v>
      </c>
      <c r="B260" s="5" t="s">
        <v>651</v>
      </c>
      <c r="C260" s="5" t="s">
        <v>614</v>
      </c>
      <c r="D260" s="5" t="s">
        <v>640</v>
      </c>
      <c r="E260" s="5" t="s">
        <v>193</v>
      </c>
      <c r="F260" s="5" t="s">
        <v>60</v>
      </c>
      <c r="G260" s="6" t="s">
        <v>6</v>
      </c>
      <c r="H260" s="18">
        <v>5</v>
      </c>
    </row>
    <row r="261" spans="1:8" x14ac:dyDescent="0.25">
      <c r="A261" s="6">
        <v>258</v>
      </c>
      <c r="B261" s="5" t="s">
        <v>652</v>
      </c>
      <c r="C261" s="5" t="s">
        <v>614</v>
      </c>
      <c r="D261" s="5" t="s">
        <v>653</v>
      </c>
      <c r="E261" s="5" t="s">
        <v>654</v>
      </c>
      <c r="F261" s="5" t="s">
        <v>655</v>
      </c>
      <c r="G261" s="6" t="s">
        <v>6</v>
      </c>
      <c r="H261" s="18">
        <v>8</v>
      </c>
    </row>
    <row r="262" spans="1:8" x14ac:dyDescent="0.25">
      <c r="A262" s="6">
        <v>259</v>
      </c>
      <c r="B262" s="5" t="s">
        <v>656</v>
      </c>
      <c r="C262" s="5" t="s">
        <v>614</v>
      </c>
      <c r="D262" s="5" t="s">
        <v>653</v>
      </c>
      <c r="E262" s="5" t="s">
        <v>657</v>
      </c>
      <c r="F262" s="5" t="s">
        <v>658</v>
      </c>
      <c r="G262" s="6" t="s">
        <v>6</v>
      </c>
      <c r="H262" s="18">
        <v>6</v>
      </c>
    </row>
    <row r="263" spans="1:8" x14ac:dyDescent="0.25">
      <c r="A263" s="6">
        <v>260</v>
      </c>
      <c r="B263" s="5" t="s">
        <v>659</v>
      </c>
      <c r="C263" s="5" t="s">
        <v>614</v>
      </c>
      <c r="D263" s="5" t="s">
        <v>653</v>
      </c>
      <c r="E263" s="5" t="s">
        <v>660</v>
      </c>
      <c r="F263" s="5" t="s">
        <v>102</v>
      </c>
      <c r="G263" s="6" t="s">
        <v>6</v>
      </c>
      <c r="H263" s="18">
        <v>6</v>
      </c>
    </row>
    <row r="264" spans="1:8" x14ac:dyDescent="0.25">
      <c r="A264" s="6">
        <v>261</v>
      </c>
      <c r="B264" s="5" t="s">
        <v>661</v>
      </c>
      <c r="C264" s="5" t="s">
        <v>614</v>
      </c>
      <c r="D264" s="5" t="s">
        <v>653</v>
      </c>
      <c r="E264" s="5" t="s">
        <v>662</v>
      </c>
      <c r="F264" s="5" t="s">
        <v>102</v>
      </c>
      <c r="G264" s="6" t="s">
        <v>6</v>
      </c>
      <c r="H264" s="18">
        <v>6</v>
      </c>
    </row>
    <row r="265" spans="1:8" x14ac:dyDescent="0.25">
      <c r="A265" s="6">
        <v>262</v>
      </c>
      <c r="B265" s="5" t="s">
        <v>663</v>
      </c>
      <c r="C265" s="5" t="s">
        <v>614</v>
      </c>
      <c r="D265" s="5" t="s">
        <v>653</v>
      </c>
      <c r="E265" s="5" t="s">
        <v>664</v>
      </c>
      <c r="F265" s="5" t="s">
        <v>92</v>
      </c>
      <c r="G265" s="6" t="s">
        <v>6</v>
      </c>
      <c r="H265" s="18">
        <v>5</v>
      </c>
    </row>
    <row r="266" spans="1:8" x14ac:dyDescent="0.25">
      <c r="A266" s="6">
        <v>263</v>
      </c>
      <c r="B266" s="5" t="s">
        <v>665</v>
      </c>
      <c r="C266" s="5" t="s">
        <v>614</v>
      </c>
      <c r="D266" s="5" t="s">
        <v>653</v>
      </c>
      <c r="E266" s="5" t="s">
        <v>666</v>
      </c>
      <c r="F266" s="5" t="s">
        <v>102</v>
      </c>
      <c r="G266" s="6" t="s">
        <v>6</v>
      </c>
      <c r="H266" s="18">
        <v>4</v>
      </c>
    </row>
    <row r="267" spans="1:8" x14ac:dyDescent="0.25">
      <c r="A267" s="6">
        <v>264</v>
      </c>
      <c r="B267" s="5" t="s">
        <v>667</v>
      </c>
      <c r="C267" s="5" t="s">
        <v>614</v>
      </c>
      <c r="D267" s="5" t="s">
        <v>653</v>
      </c>
      <c r="E267" s="5" t="s">
        <v>668</v>
      </c>
      <c r="F267" s="5" t="s">
        <v>102</v>
      </c>
      <c r="G267" s="6" t="s">
        <v>6</v>
      </c>
      <c r="H267" s="18">
        <v>7</v>
      </c>
    </row>
    <row r="268" spans="1:8" x14ac:dyDescent="0.25">
      <c r="A268" s="6">
        <v>265</v>
      </c>
      <c r="B268" s="5" t="s">
        <v>669</v>
      </c>
      <c r="C268" s="5" t="s">
        <v>614</v>
      </c>
      <c r="D268" s="5" t="s">
        <v>670</v>
      </c>
      <c r="E268" s="5" t="s">
        <v>671</v>
      </c>
      <c r="F268" s="5" t="s">
        <v>672</v>
      </c>
      <c r="G268" s="6" t="s">
        <v>6</v>
      </c>
      <c r="H268" s="18">
        <v>6</v>
      </c>
    </row>
    <row r="269" spans="1:8" x14ac:dyDescent="0.25">
      <c r="A269" s="6">
        <v>266</v>
      </c>
      <c r="B269" s="5" t="s">
        <v>673</v>
      </c>
      <c r="C269" s="5" t="s">
        <v>614</v>
      </c>
      <c r="D269" s="5" t="s">
        <v>670</v>
      </c>
      <c r="E269" s="5" t="s">
        <v>674</v>
      </c>
      <c r="F269" s="5" t="s">
        <v>675</v>
      </c>
      <c r="G269" s="6" t="s">
        <v>6</v>
      </c>
      <c r="H269" s="18">
        <v>12</v>
      </c>
    </row>
    <row r="270" spans="1:8" x14ac:dyDescent="0.25">
      <c r="A270" s="6">
        <v>267</v>
      </c>
      <c r="B270" s="5" t="s">
        <v>676</v>
      </c>
      <c r="C270" s="5" t="s">
        <v>614</v>
      </c>
      <c r="D270" s="5" t="s">
        <v>670</v>
      </c>
      <c r="E270" s="5" t="s">
        <v>677</v>
      </c>
      <c r="F270" s="5" t="s">
        <v>678</v>
      </c>
      <c r="G270" s="6" t="s">
        <v>6</v>
      </c>
      <c r="H270" s="18">
        <v>7</v>
      </c>
    </row>
    <row r="271" spans="1:8" x14ac:dyDescent="0.25">
      <c r="A271" s="6">
        <v>268</v>
      </c>
      <c r="B271" s="5" t="s">
        <v>679</v>
      </c>
      <c r="C271" s="5" t="s">
        <v>614</v>
      </c>
      <c r="D271" s="5" t="s">
        <v>670</v>
      </c>
      <c r="E271" s="5" t="s">
        <v>680</v>
      </c>
      <c r="F271" s="5" t="s">
        <v>102</v>
      </c>
      <c r="G271" s="6" t="s">
        <v>6</v>
      </c>
      <c r="H271" s="18">
        <v>21</v>
      </c>
    </row>
    <row r="272" spans="1:8" x14ac:dyDescent="0.25">
      <c r="A272" s="6">
        <v>269</v>
      </c>
      <c r="B272" s="5" t="s">
        <v>681</v>
      </c>
      <c r="C272" s="5" t="s">
        <v>614</v>
      </c>
      <c r="D272" s="5" t="s">
        <v>670</v>
      </c>
      <c r="E272" s="5" t="s">
        <v>682</v>
      </c>
      <c r="F272" s="5" t="s">
        <v>683</v>
      </c>
      <c r="G272" s="6" t="s">
        <v>6</v>
      </c>
      <c r="H272" s="18">
        <v>10</v>
      </c>
    </row>
    <row r="273" spans="1:8" x14ac:dyDescent="0.25">
      <c r="A273" s="6">
        <v>270</v>
      </c>
      <c r="B273" s="5" t="s">
        <v>684</v>
      </c>
      <c r="C273" s="5" t="s">
        <v>614</v>
      </c>
      <c r="D273" s="5" t="s">
        <v>670</v>
      </c>
      <c r="E273" s="5" t="s">
        <v>685</v>
      </c>
      <c r="F273" s="5" t="s">
        <v>686</v>
      </c>
      <c r="G273" s="6" t="s">
        <v>6</v>
      </c>
      <c r="H273" s="18">
        <v>5</v>
      </c>
    </row>
    <row r="274" spans="1:8" x14ac:dyDescent="0.25">
      <c r="A274" s="6">
        <v>271</v>
      </c>
      <c r="B274" s="5" t="s">
        <v>687</v>
      </c>
      <c r="C274" s="5" t="s">
        <v>614</v>
      </c>
      <c r="D274" s="5" t="s">
        <v>670</v>
      </c>
      <c r="E274" s="5" t="s">
        <v>688</v>
      </c>
      <c r="F274" s="5" t="s">
        <v>102</v>
      </c>
      <c r="G274" s="6" t="s">
        <v>6</v>
      </c>
      <c r="H274" s="18">
        <v>8</v>
      </c>
    </row>
    <row r="275" spans="1:8" x14ac:dyDescent="0.25">
      <c r="A275" s="6">
        <v>272</v>
      </c>
      <c r="B275" s="5" t="s">
        <v>689</v>
      </c>
      <c r="C275" s="5" t="s">
        <v>614</v>
      </c>
      <c r="D275" s="5" t="s">
        <v>670</v>
      </c>
      <c r="E275" s="5" t="s">
        <v>193</v>
      </c>
      <c r="F275" s="5" t="s">
        <v>60</v>
      </c>
      <c r="G275" s="6" t="s">
        <v>6</v>
      </c>
      <c r="H275" s="18">
        <v>9</v>
      </c>
    </row>
    <row r="276" spans="1:8" x14ac:dyDescent="0.25">
      <c r="A276" s="6">
        <v>273</v>
      </c>
      <c r="B276" s="5" t="s">
        <v>690</v>
      </c>
      <c r="C276" s="5" t="s">
        <v>691</v>
      </c>
      <c r="D276" s="5" t="s">
        <v>692</v>
      </c>
      <c r="E276" s="5" t="s">
        <v>291</v>
      </c>
      <c r="F276" s="5" t="s">
        <v>693</v>
      </c>
      <c r="G276" s="6" t="s">
        <v>6</v>
      </c>
      <c r="H276" s="18">
        <v>3</v>
      </c>
    </row>
    <row r="277" spans="1:8" x14ac:dyDescent="0.25">
      <c r="A277" s="6">
        <v>274</v>
      </c>
      <c r="B277" s="5" t="s">
        <v>694</v>
      </c>
      <c r="C277" s="5" t="s">
        <v>691</v>
      </c>
      <c r="D277" s="5" t="s">
        <v>692</v>
      </c>
      <c r="E277" s="5" t="s">
        <v>695</v>
      </c>
      <c r="F277" s="5" t="s">
        <v>60</v>
      </c>
      <c r="G277" s="6" t="s">
        <v>6</v>
      </c>
      <c r="H277" s="18">
        <v>1</v>
      </c>
    </row>
    <row r="278" spans="1:8" x14ac:dyDescent="0.25">
      <c r="A278" s="6">
        <v>275</v>
      </c>
      <c r="B278" s="5" t="s">
        <v>696</v>
      </c>
      <c r="C278" s="5" t="s">
        <v>691</v>
      </c>
      <c r="D278" s="5" t="s">
        <v>692</v>
      </c>
      <c r="E278" s="5" t="s">
        <v>697</v>
      </c>
      <c r="F278" s="5" t="s">
        <v>60</v>
      </c>
      <c r="G278" s="6" t="s">
        <v>6</v>
      </c>
      <c r="H278" s="18">
        <v>1</v>
      </c>
    </row>
    <row r="279" spans="1:8" x14ac:dyDescent="0.25">
      <c r="A279" s="6">
        <v>276</v>
      </c>
      <c r="B279" s="5" t="s">
        <v>698</v>
      </c>
      <c r="C279" s="5" t="s">
        <v>691</v>
      </c>
      <c r="D279" s="5" t="s">
        <v>692</v>
      </c>
      <c r="E279" s="5" t="s">
        <v>699</v>
      </c>
      <c r="F279" s="5" t="s">
        <v>60</v>
      </c>
      <c r="G279" s="6" t="s">
        <v>6</v>
      </c>
      <c r="H279" s="18">
        <v>1</v>
      </c>
    </row>
    <row r="280" spans="1:8" x14ac:dyDescent="0.25">
      <c r="A280" s="6">
        <v>277</v>
      </c>
      <c r="B280" s="5" t="s">
        <v>700</v>
      </c>
      <c r="C280" s="5" t="s">
        <v>691</v>
      </c>
      <c r="D280" s="5" t="s">
        <v>692</v>
      </c>
      <c r="E280" s="5" t="s">
        <v>701</v>
      </c>
      <c r="F280" s="5" t="s">
        <v>60</v>
      </c>
      <c r="G280" s="6" t="s">
        <v>6</v>
      </c>
      <c r="H280" s="18">
        <v>1</v>
      </c>
    </row>
    <row r="281" spans="1:8" x14ac:dyDescent="0.25">
      <c r="A281" s="6">
        <v>278</v>
      </c>
      <c r="B281" s="5" t="s">
        <v>702</v>
      </c>
      <c r="C281" s="5" t="s">
        <v>691</v>
      </c>
      <c r="D281" s="5" t="s">
        <v>692</v>
      </c>
      <c r="E281" s="5" t="s">
        <v>703</v>
      </c>
      <c r="F281" s="5" t="s">
        <v>60</v>
      </c>
      <c r="G281" s="6" t="s">
        <v>6</v>
      </c>
      <c r="H281" s="18">
        <v>1</v>
      </c>
    </row>
    <row r="282" spans="1:8" x14ac:dyDescent="0.25">
      <c r="A282" s="6">
        <v>279</v>
      </c>
      <c r="B282" s="5" t="s">
        <v>704</v>
      </c>
      <c r="C282" s="5" t="s">
        <v>691</v>
      </c>
      <c r="D282" s="5" t="s">
        <v>692</v>
      </c>
      <c r="E282" s="5" t="s">
        <v>263</v>
      </c>
      <c r="F282" s="5" t="s">
        <v>60</v>
      </c>
      <c r="G282" s="6" t="s">
        <v>6</v>
      </c>
      <c r="H282" s="18">
        <v>2</v>
      </c>
    </row>
    <row r="283" spans="1:8" x14ac:dyDescent="0.25">
      <c r="A283" s="6">
        <v>280</v>
      </c>
      <c r="B283" s="5" t="s">
        <v>705</v>
      </c>
      <c r="C283" s="5" t="s">
        <v>706</v>
      </c>
      <c r="D283" s="5" t="s">
        <v>707</v>
      </c>
      <c r="E283" s="5" t="s">
        <v>708</v>
      </c>
      <c r="F283" s="5" t="s">
        <v>79</v>
      </c>
      <c r="G283" s="6" t="s">
        <v>6</v>
      </c>
      <c r="H283" s="18">
        <v>432</v>
      </c>
    </row>
    <row r="284" spans="1:8" x14ac:dyDescent="0.25">
      <c r="A284" s="6">
        <v>281</v>
      </c>
      <c r="B284" s="5" t="s">
        <v>709</v>
      </c>
      <c r="C284" s="5" t="s">
        <v>706</v>
      </c>
      <c r="D284" s="5" t="s">
        <v>707</v>
      </c>
      <c r="E284" s="5" t="s">
        <v>710</v>
      </c>
      <c r="F284" s="5" t="s">
        <v>79</v>
      </c>
      <c r="G284" s="6" t="s">
        <v>6</v>
      </c>
      <c r="H284" s="18">
        <v>40</v>
      </c>
    </row>
    <row r="285" spans="1:8" x14ac:dyDescent="0.25">
      <c r="A285" s="6">
        <v>282</v>
      </c>
      <c r="B285" s="5" t="s">
        <v>711</v>
      </c>
      <c r="C285" s="5" t="s">
        <v>706</v>
      </c>
      <c r="D285" s="5" t="s">
        <v>707</v>
      </c>
      <c r="E285" s="5" t="s">
        <v>611</v>
      </c>
      <c r="F285" s="5" t="s">
        <v>712</v>
      </c>
      <c r="G285" s="6" t="s">
        <v>6</v>
      </c>
      <c r="H285" s="18">
        <v>75</v>
      </c>
    </row>
    <row r="286" spans="1:8" x14ac:dyDescent="0.25">
      <c r="A286" s="6">
        <v>283</v>
      </c>
      <c r="B286" s="5" t="s">
        <v>713</v>
      </c>
      <c r="C286" s="5" t="s">
        <v>706</v>
      </c>
      <c r="D286" s="5" t="s">
        <v>707</v>
      </c>
      <c r="E286" s="5" t="s">
        <v>714</v>
      </c>
      <c r="F286" s="5" t="s">
        <v>79</v>
      </c>
      <c r="G286" s="6" t="s">
        <v>6</v>
      </c>
      <c r="H286" s="18">
        <v>176</v>
      </c>
    </row>
    <row r="287" spans="1:8" x14ac:dyDescent="0.25">
      <c r="A287" s="6">
        <v>284</v>
      </c>
      <c r="B287" s="5" t="s">
        <v>715</v>
      </c>
      <c r="C287" s="5" t="s">
        <v>716</v>
      </c>
      <c r="D287" s="5" t="s">
        <v>717</v>
      </c>
      <c r="E287" s="5" t="s">
        <v>718</v>
      </c>
      <c r="F287" s="5" t="s">
        <v>719</v>
      </c>
      <c r="G287" s="6" t="s">
        <v>6</v>
      </c>
      <c r="H287" s="18">
        <v>2</v>
      </c>
    </row>
    <row r="288" spans="1:8" x14ac:dyDescent="0.25">
      <c r="A288" s="6">
        <v>285</v>
      </c>
      <c r="B288" s="5" t="s">
        <v>720</v>
      </c>
      <c r="C288" s="5" t="s">
        <v>716</v>
      </c>
      <c r="D288" s="5" t="s">
        <v>717</v>
      </c>
      <c r="E288" s="5" t="s">
        <v>721</v>
      </c>
      <c r="F288" s="5" t="s">
        <v>79</v>
      </c>
      <c r="G288" s="6" t="s">
        <v>6</v>
      </c>
      <c r="H288" s="18">
        <v>1</v>
      </c>
    </row>
    <row r="289" spans="1:8" x14ac:dyDescent="0.25">
      <c r="A289" s="6">
        <v>286</v>
      </c>
      <c r="B289" s="5" t="s">
        <v>722</v>
      </c>
      <c r="C289" s="5" t="s">
        <v>716</v>
      </c>
      <c r="D289" s="5" t="s">
        <v>717</v>
      </c>
      <c r="E289" s="5" t="s">
        <v>723</v>
      </c>
      <c r="F289" s="5" t="s">
        <v>79</v>
      </c>
      <c r="G289" s="6" t="s">
        <v>6</v>
      </c>
      <c r="H289" s="18">
        <v>0</v>
      </c>
    </row>
    <row r="290" spans="1:8" x14ac:dyDescent="0.25">
      <c r="A290" s="6">
        <v>287</v>
      </c>
      <c r="B290" s="5" t="s">
        <v>724</v>
      </c>
      <c r="C290" s="5" t="s">
        <v>716</v>
      </c>
      <c r="D290" s="5" t="s">
        <v>717</v>
      </c>
      <c r="E290" s="5" t="s">
        <v>725</v>
      </c>
      <c r="F290" s="5" t="s">
        <v>79</v>
      </c>
      <c r="G290" s="6" t="s">
        <v>6</v>
      </c>
      <c r="H290" s="18">
        <v>1</v>
      </c>
    </row>
    <row r="291" spans="1:8" x14ac:dyDescent="0.25">
      <c r="A291" s="6">
        <v>288</v>
      </c>
      <c r="B291" s="5" t="s">
        <v>726</v>
      </c>
      <c r="C291" s="5" t="s">
        <v>716</v>
      </c>
      <c r="D291" s="5" t="s">
        <v>717</v>
      </c>
      <c r="E291" s="5" t="s">
        <v>727</v>
      </c>
      <c r="F291" s="5" t="s">
        <v>728</v>
      </c>
      <c r="G291" s="6" t="s">
        <v>6</v>
      </c>
      <c r="H291" s="18">
        <v>8</v>
      </c>
    </row>
    <row r="292" spans="1:8" x14ac:dyDescent="0.25">
      <c r="A292" s="6">
        <v>289</v>
      </c>
      <c r="B292" s="5" t="s">
        <v>729</v>
      </c>
      <c r="C292" s="5" t="s">
        <v>730</v>
      </c>
      <c r="D292" s="5" t="s">
        <v>731</v>
      </c>
      <c r="E292" s="5" t="s">
        <v>732</v>
      </c>
      <c r="F292" s="5" t="s">
        <v>79</v>
      </c>
      <c r="G292" s="6" t="s">
        <v>6</v>
      </c>
      <c r="H292" s="18">
        <v>11</v>
      </c>
    </row>
    <row r="293" spans="1:8" x14ac:dyDescent="0.25">
      <c r="A293" s="6">
        <v>290</v>
      </c>
      <c r="B293" s="5" t="s">
        <v>733</v>
      </c>
      <c r="C293" s="5" t="s">
        <v>730</v>
      </c>
      <c r="D293" s="5" t="s">
        <v>731</v>
      </c>
      <c r="E293" s="5" t="s">
        <v>734</v>
      </c>
      <c r="F293" s="5" t="s">
        <v>735</v>
      </c>
      <c r="G293" s="6" t="s">
        <v>6</v>
      </c>
      <c r="H293" s="18">
        <v>1</v>
      </c>
    </row>
    <row r="294" spans="1:8" x14ac:dyDescent="0.25">
      <c r="A294" s="6">
        <v>291</v>
      </c>
      <c r="B294" s="5" t="s">
        <v>736</v>
      </c>
      <c r="C294" s="5" t="s">
        <v>730</v>
      </c>
      <c r="D294" s="5" t="s">
        <v>731</v>
      </c>
      <c r="E294" s="5" t="s">
        <v>737</v>
      </c>
      <c r="F294" s="5" t="s">
        <v>79</v>
      </c>
      <c r="G294" s="6" t="s">
        <v>6</v>
      </c>
      <c r="H294" s="18">
        <v>1</v>
      </c>
    </row>
    <row r="295" spans="1:8" x14ac:dyDescent="0.25">
      <c r="A295" s="6">
        <v>292</v>
      </c>
      <c r="B295" s="5" t="s">
        <v>738</v>
      </c>
      <c r="C295" s="5" t="s">
        <v>730</v>
      </c>
      <c r="D295" s="5" t="s">
        <v>731</v>
      </c>
      <c r="E295" s="5" t="s">
        <v>739</v>
      </c>
      <c r="F295" s="5" t="s">
        <v>712</v>
      </c>
      <c r="G295" s="6" t="s">
        <v>6</v>
      </c>
      <c r="H295" s="18">
        <v>12</v>
      </c>
    </row>
    <row r="296" spans="1:8" x14ac:dyDescent="0.25">
      <c r="A296" s="6">
        <v>293</v>
      </c>
      <c r="B296" s="5" t="s">
        <v>740</v>
      </c>
      <c r="C296" s="5" t="s">
        <v>730</v>
      </c>
      <c r="D296" s="5" t="s">
        <v>741</v>
      </c>
      <c r="E296" s="5" t="s">
        <v>742</v>
      </c>
      <c r="F296" s="5" t="s">
        <v>79</v>
      </c>
      <c r="G296" s="6" t="s">
        <v>6</v>
      </c>
      <c r="H296" s="18">
        <v>1</v>
      </c>
    </row>
    <row r="297" spans="1:8" x14ac:dyDescent="0.25">
      <c r="A297" s="6">
        <v>294</v>
      </c>
      <c r="B297" s="5" t="s">
        <v>743</v>
      </c>
      <c r="C297" s="5" t="s">
        <v>730</v>
      </c>
      <c r="D297" s="5" t="s">
        <v>741</v>
      </c>
      <c r="E297" s="5" t="s">
        <v>744</v>
      </c>
      <c r="F297" s="5" t="s">
        <v>745</v>
      </c>
      <c r="G297" s="6" t="s">
        <v>6</v>
      </c>
      <c r="H297" s="18">
        <v>0</v>
      </c>
    </row>
    <row r="298" spans="1:8" x14ac:dyDescent="0.25">
      <c r="A298" s="6">
        <v>295</v>
      </c>
      <c r="B298" s="5" t="s">
        <v>746</v>
      </c>
      <c r="C298" s="5" t="s">
        <v>747</v>
      </c>
      <c r="D298" s="5" t="s">
        <v>748</v>
      </c>
      <c r="E298" s="5" t="s">
        <v>749</v>
      </c>
      <c r="F298" s="5" t="s">
        <v>79</v>
      </c>
      <c r="G298" s="6" t="s">
        <v>6</v>
      </c>
      <c r="H298" s="18">
        <v>0</v>
      </c>
    </row>
    <row r="299" spans="1:8" x14ac:dyDescent="0.25">
      <c r="A299" s="6">
        <v>296</v>
      </c>
      <c r="B299" s="5" t="s">
        <v>750</v>
      </c>
      <c r="C299" s="5" t="s">
        <v>747</v>
      </c>
      <c r="D299" s="5" t="s">
        <v>748</v>
      </c>
      <c r="E299" s="5" t="s">
        <v>751</v>
      </c>
      <c r="F299" s="5" t="s">
        <v>79</v>
      </c>
      <c r="G299" s="6" t="s">
        <v>6</v>
      </c>
      <c r="H299" s="18">
        <v>0</v>
      </c>
    </row>
    <row r="300" spans="1:8" x14ac:dyDescent="0.25">
      <c r="A300" s="6">
        <v>297</v>
      </c>
      <c r="B300" s="5" t="s">
        <v>752</v>
      </c>
      <c r="C300" s="5" t="s">
        <v>747</v>
      </c>
      <c r="D300" s="5" t="s">
        <v>748</v>
      </c>
      <c r="E300" s="5" t="s">
        <v>753</v>
      </c>
      <c r="F300" s="5" t="s">
        <v>79</v>
      </c>
      <c r="G300" s="6" t="s">
        <v>6</v>
      </c>
      <c r="H300" s="18">
        <v>0</v>
      </c>
    </row>
    <row r="301" spans="1:8" x14ac:dyDescent="0.25">
      <c r="A301" s="6">
        <v>298</v>
      </c>
      <c r="B301" s="5" t="s">
        <v>754</v>
      </c>
      <c r="C301" s="5" t="s">
        <v>747</v>
      </c>
      <c r="D301" s="5" t="s">
        <v>748</v>
      </c>
      <c r="E301" s="5" t="s">
        <v>755</v>
      </c>
      <c r="F301" s="5" t="s">
        <v>79</v>
      </c>
      <c r="G301" s="6" t="s">
        <v>6</v>
      </c>
      <c r="H301" s="18">
        <v>1</v>
      </c>
    </row>
    <row r="302" spans="1:8" x14ac:dyDescent="0.25">
      <c r="A302" s="6">
        <v>299</v>
      </c>
      <c r="B302" s="5" t="s">
        <v>756</v>
      </c>
      <c r="C302" s="5" t="s">
        <v>747</v>
      </c>
      <c r="D302" s="5" t="s">
        <v>748</v>
      </c>
      <c r="E302" s="5" t="s">
        <v>757</v>
      </c>
      <c r="F302" s="5" t="s">
        <v>79</v>
      </c>
      <c r="G302" s="6" t="s">
        <v>6</v>
      </c>
      <c r="H302" s="18">
        <v>0</v>
      </c>
    </row>
    <row r="303" spans="1:8" x14ac:dyDescent="0.25">
      <c r="A303" s="6">
        <v>300</v>
      </c>
      <c r="B303" s="5" t="s">
        <v>758</v>
      </c>
      <c r="C303" s="5" t="s">
        <v>747</v>
      </c>
      <c r="D303" s="5" t="s">
        <v>748</v>
      </c>
      <c r="E303" s="5" t="s">
        <v>759</v>
      </c>
      <c r="F303" s="5" t="s">
        <v>79</v>
      </c>
      <c r="G303" s="6" t="s">
        <v>6</v>
      </c>
      <c r="H303" s="18">
        <v>0</v>
      </c>
    </row>
    <row r="304" spans="1:8" x14ac:dyDescent="0.25">
      <c r="A304" s="6">
        <v>301</v>
      </c>
      <c r="B304" s="5" t="s">
        <v>760</v>
      </c>
      <c r="C304" s="5" t="s">
        <v>747</v>
      </c>
      <c r="D304" s="5" t="s">
        <v>748</v>
      </c>
      <c r="E304" s="5" t="s">
        <v>761</v>
      </c>
      <c r="F304" s="5" t="s">
        <v>79</v>
      </c>
      <c r="G304" s="6" t="s">
        <v>6</v>
      </c>
      <c r="H304" s="18">
        <v>1</v>
      </c>
    </row>
    <row r="305" spans="1:8" x14ac:dyDescent="0.25">
      <c r="A305" s="6">
        <v>302</v>
      </c>
      <c r="B305" s="5" t="s">
        <v>762</v>
      </c>
      <c r="C305" s="5" t="s">
        <v>747</v>
      </c>
      <c r="D305" s="5" t="s">
        <v>748</v>
      </c>
      <c r="E305" s="5" t="s">
        <v>763</v>
      </c>
      <c r="F305" s="5" t="s">
        <v>79</v>
      </c>
      <c r="G305" s="6" t="s">
        <v>6</v>
      </c>
      <c r="H305" s="18">
        <v>0</v>
      </c>
    </row>
    <row r="306" spans="1:8" x14ac:dyDescent="0.25">
      <c r="A306" s="6">
        <v>303</v>
      </c>
      <c r="B306" s="5" t="s">
        <v>764</v>
      </c>
      <c r="C306" s="5" t="s">
        <v>747</v>
      </c>
      <c r="D306" s="5" t="s">
        <v>748</v>
      </c>
      <c r="E306" s="5" t="s">
        <v>765</v>
      </c>
      <c r="F306" s="5" t="s">
        <v>79</v>
      </c>
      <c r="G306" s="6" t="s">
        <v>6</v>
      </c>
      <c r="H306" s="18">
        <v>0</v>
      </c>
    </row>
    <row r="307" spans="1:8" x14ac:dyDescent="0.25">
      <c r="A307" s="6">
        <v>304</v>
      </c>
      <c r="B307" s="5" t="s">
        <v>766</v>
      </c>
      <c r="C307" s="5" t="s">
        <v>747</v>
      </c>
      <c r="D307" s="5" t="s">
        <v>767</v>
      </c>
      <c r="E307" s="5" t="s">
        <v>768</v>
      </c>
      <c r="F307" s="5" t="s">
        <v>769</v>
      </c>
      <c r="G307" s="6" t="s">
        <v>6</v>
      </c>
      <c r="H307" s="18">
        <v>1</v>
      </c>
    </row>
    <row r="308" spans="1:8" x14ac:dyDescent="0.25">
      <c r="A308" s="6">
        <v>305</v>
      </c>
      <c r="B308" s="5" t="s">
        <v>770</v>
      </c>
      <c r="C308" s="5" t="s">
        <v>747</v>
      </c>
      <c r="D308" s="5" t="s">
        <v>767</v>
      </c>
      <c r="E308" s="5" t="s">
        <v>771</v>
      </c>
      <c r="F308" s="5" t="s">
        <v>735</v>
      </c>
      <c r="G308" s="6" t="s">
        <v>6</v>
      </c>
      <c r="H308" s="18">
        <v>0</v>
      </c>
    </row>
    <row r="309" spans="1:8" x14ac:dyDescent="0.25">
      <c r="A309" s="6">
        <v>306</v>
      </c>
      <c r="B309" s="5" t="s">
        <v>772</v>
      </c>
      <c r="C309" s="5" t="s">
        <v>747</v>
      </c>
      <c r="D309" s="5" t="s">
        <v>767</v>
      </c>
      <c r="E309" s="5" t="s">
        <v>773</v>
      </c>
      <c r="F309" s="5" t="s">
        <v>774</v>
      </c>
      <c r="G309" s="6" t="s">
        <v>6</v>
      </c>
      <c r="H309" s="18">
        <v>1</v>
      </c>
    </row>
    <row r="310" spans="1:8" x14ac:dyDescent="0.25">
      <c r="A310" s="6">
        <v>307</v>
      </c>
      <c r="B310" s="5" t="s">
        <v>775</v>
      </c>
      <c r="C310" s="5" t="s">
        <v>747</v>
      </c>
      <c r="D310" s="5" t="s">
        <v>767</v>
      </c>
      <c r="E310" s="5" t="s">
        <v>776</v>
      </c>
      <c r="F310" s="5" t="s">
        <v>774</v>
      </c>
      <c r="G310" s="6" t="s">
        <v>6</v>
      </c>
      <c r="H310" s="18">
        <v>0</v>
      </c>
    </row>
    <row r="311" spans="1:8" x14ac:dyDescent="0.25">
      <c r="A311" s="6">
        <v>308</v>
      </c>
      <c r="B311" s="5" t="s">
        <v>777</v>
      </c>
      <c r="C311" s="5" t="s">
        <v>747</v>
      </c>
      <c r="D311" s="5" t="s">
        <v>767</v>
      </c>
      <c r="E311" s="5" t="s">
        <v>778</v>
      </c>
      <c r="F311" s="5" t="s">
        <v>774</v>
      </c>
      <c r="G311" s="6" t="s">
        <v>6</v>
      </c>
      <c r="H311" s="18">
        <v>0</v>
      </c>
    </row>
    <row r="312" spans="1:8" x14ac:dyDescent="0.25">
      <c r="A312" s="6">
        <v>309</v>
      </c>
      <c r="B312" s="5" t="s">
        <v>779</v>
      </c>
      <c r="C312" s="5" t="s">
        <v>747</v>
      </c>
      <c r="D312" s="5" t="s">
        <v>767</v>
      </c>
      <c r="E312" s="5" t="s">
        <v>780</v>
      </c>
      <c r="F312" s="5" t="s">
        <v>774</v>
      </c>
      <c r="G312" s="6" t="s">
        <v>6</v>
      </c>
      <c r="H312" s="18">
        <v>1</v>
      </c>
    </row>
    <row r="313" spans="1:8" x14ac:dyDescent="0.25">
      <c r="A313" s="6">
        <v>310</v>
      </c>
      <c r="B313" s="5" t="s">
        <v>781</v>
      </c>
      <c r="C313" s="5" t="s">
        <v>747</v>
      </c>
      <c r="D313" s="5" t="s">
        <v>767</v>
      </c>
      <c r="E313" s="5" t="s">
        <v>782</v>
      </c>
      <c r="F313" s="5" t="s">
        <v>774</v>
      </c>
      <c r="G313" s="6" t="s">
        <v>6</v>
      </c>
      <c r="H313" s="18">
        <v>0</v>
      </c>
    </row>
    <row r="314" spans="1:8" x14ac:dyDescent="0.25">
      <c r="A314" s="6">
        <v>311</v>
      </c>
      <c r="B314" s="5" t="s">
        <v>783</v>
      </c>
      <c r="C314" s="5" t="s">
        <v>747</v>
      </c>
      <c r="D314" s="5" t="s">
        <v>767</v>
      </c>
      <c r="E314" s="5" t="s">
        <v>784</v>
      </c>
      <c r="F314" s="5" t="s">
        <v>774</v>
      </c>
      <c r="G314" s="6" t="s">
        <v>6</v>
      </c>
      <c r="H314" s="18">
        <v>0</v>
      </c>
    </row>
    <row r="315" spans="1:8" x14ac:dyDescent="0.25">
      <c r="A315" s="6">
        <v>312</v>
      </c>
      <c r="B315" s="5" t="s">
        <v>785</v>
      </c>
      <c r="C315" s="5" t="s">
        <v>747</v>
      </c>
      <c r="D315" s="5" t="s">
        <v>767</v>
      </c>
      <c r="E315" s="5" t="s">
        <v>786</v>
      </c>
      <c r="F315" s="5" t="s">
        <v>774</v>
      </c>
      <c r="G315" s="6" t="s">
        <v>6</v>
      </c>
      <c r="H315" s="18">
        <v>1</v>
      </c>
    </row>
    <row r="316" spans="1:8" x14ac:dyDescent="0.25">
      <c r="A316" s="6">
        <v>313</v>
      </c>
      <c r="B316" s="5" t="s">
        <v>787</v>
      </c>
      <c r="C316" s="5" t="s">
        <v>747</v>
      </c>
      <c r="D316" s="5" t="s">
        <v>767</v>
      </c>
      <c r="E316" s="5" t="s">
        <v>788</v>
      </c>
      <c r="F316" s="5" t="s">
        <v>774</v>
      </c>
      <c r="G316" s="6" t="s">
        <v>6</v>
      </c>
      <c r="H316" s="18">
        <v>0</v>
      </c>
    </row>
    <row r="317" spans="1:8" x14ac:dyDescent="0.25">
      <c r="A317" s="6">
        <v>314</v>
      </c>
      <c r="B317" s="5" t="s">
        <v>789</v>
      </c>
      <c r="C317" s="5" t="s">
        <v>747</v>
      </c>
      <c r="D317" s="5" t="s">
        <v>767</v>
      </c>
      <c r="E317" s="5" t="s">
        <v>790</v>
      </c>
      <c r="F317" s="5" t="s">
        <v>774</v>
      </c>
      <c r="G317" s="6" t="s">
        <v>6</v>
      </c>
      <c r="H317" s="18">
        <v>0</v>
      </c>
    </row>
    <row r="318" spans="1:8" x14ac:dyDescent="0.25">
      <c r="A318" s="6">
        <v>315</v>
      </c>
      <c r="B318" s="5" t="s">
        <v>791</v>
      </c>
      <c r="C318" s="5" t="s">
        <v>747</v>
      </c>
      <c r="D318" s="5" t="s">
        <v>767</v>
      </c>
      <c r="E318" s="5" t="s">
        <v>792</v>
      </c>
      <c r="F318" s="5" t="s">
        <v>774</v>
      </c>
      <c r="G318" s="6" t="s">
        <v>6</v>
      </c>
      <c r="H318" s="18">
        <v>1</v>
      </c>
    </row>
    <row r="319" spans="1:8" x14ac:dyDescent="0.25">
      <c r="A319" s="6">
        <v>316</v>
      </c>
      <c r="B319" s="5" t="s">
        <v>793</v>
      </c>
      <c r="C319" s="5" t="s">
        <v>747</v>
      </c>
      <c r="D319" s="5" t="s">
        <v>767</v>
      </c>
      <c r="E319" s="5" t="s">
        <v>794</v>
      </c>
      <c r="F319" s="5" t="s">
        <v>79</v>
      </c>
      <c r="G319" s="6" t="s">
        <v>6</v>
      </c>
      <c r="H319" s="18">
        <v>0</v>
      </c>
    </row>
  </sheetData>
  <autoFilter ref="A3:H319"/>
  <conditionalFormatting sqref="G4:G319">
    <cfRule type="containsText" dxfId="3" priority="1">
      <formula>NOT(ISERROR(SEARCH("ไม่ผ่าน",G4)))</formula>
    </cfRule>
    <cfRule type="containsText" dxfId="4" priority="2">
      <formula>NOT(ISERROR(SEARCH("ผ่าน",G4)))</formula>
    </cfRule>
    <cfRule type="containsText" dxfId="5" priority="3">
      <formula>NOT(ISERROR(SEARCH("ข้าม",G4)))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6" customWidth="1"/>
    <col min="4" max="4" width="30" customWidth="1"/>
    <col min="5" max="5" width="56" customWidth="1"/>
    <col min="6" max="6" width="40" customWidth="1"/>
    <col min="7" max="7" width="11" customWidth="1"/>
    <col min="8" max="8" width="10" customWidth="1"/>
  </cols>
  <sheetData>
    <row r="1" spans="1:1" x14ac:dyDescent="0.25">
      <c r="A1" s="17" t="s">
        <v>795</v>
      </c>
    </row>
    <row r="2" spans="1:1" x14ac:dyDescent="0.25">
      <c r="A2" s="2" t="s">
        <v>796</v>
      </c>
    </row>
    <row r="3" ht="30" customHeight="1" spans="1:8" x14ac:dyDescent="0.25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spans="1:8" x14ac:dyDescent="0.25">
      <c r="A4" s="6">
        <v>1</v>
      </c>
      <c r="B4" s="5" t="s">
        <v>797</v>
      </c>
      <c r="C4" s="5" t="s">
        <v>798</v>
      </c>
      <c r="D4" s="5" t="s">
        <v>799</v>
      </c>
      <c r="E4" s="5" t="s">
        <v>800</v>
      </c>
      <c r="F4" s="5" t="s">
        <v>60</v>
      </c>
      <c r="G4" s="6" t="s">
        <v>6</v>
      </c>
      <c r="H4" s="18">
        <v>57</v>
      </c>
    </row>
    <row r="5" spans="1:8" x14ac:dyDescent="0.25">
      <c r="A5" s="6">
        <v>2</v>
      </c>
      <c r="B5" s="5" t="s">
        <v>801</v>
      </c>
      <c r="C5" s="5" t="s">
        <v>798</v>
      </c>
      <c r="D5" s="5" t="s">
        <v>799</v>
      </c>
      <c r="E5" s="5" t="s">
        <v>802</v>
      </c>
      <c r="F5" s="5" t="s">
        <v>60</v>
      </c>
      <c r="G5" s="6" t="s">
        <v>6</v>
      </c>
      <c r="H5" s="18">
        <v>8</v>
      </c>
    </row>
    <row r="6" spans="1:8" x14ac:dyDescent="0.25">
      <c r="A6" s="6">
        <v>3</v>
      </c>
      <c r="B6" s="5" t="s">
        <v>803</v>
      </c>
      <c r="C6" s="5" t="s">
        <v>798</v>
      </c>
      <c r="D6" s="5" t="s">
        <v>799</v>
      </c>
      <c r="E6" s="5" t="s">
        <v>804</v>
      </c>
      <c r="F6" s="5" t="s">
        <v>60</v>
      </c>
      <c r="G6" s="6" t="s">
        <v>6</v>
      </c>
      <c r="H6" s="18">
        <v>15</v>
      </c>
    </row>
    <row r="7" spans="1:8" x14ac:dyDescent="0.25">
      <c r="A7" s="6">
        <v>4</v>
      </c>
      <c r="B7" s="5" t="s">
        <v>805</v>
      </c>
      <c r="C7" s="5" t="s">
        <v>798</v>
      </c>
      <c r="D7" s="5" t="s">
        <v>806</v>
      </c>
      <c r="E7" s="5" t="s">
        <v>807</v>
      </c>
      <c r="F7" s="5" t="s">
        <v>102</v>
      </c>
      <c r="G7" s="6" t="s">
        <v>6</v>
      </c>
      <c r="H7" s="18">
        <v>6</v>
      </c>
    </row>
    <row r="8" spans="1:8" x14ac:dyDescent="0.25">
      <c r="A8" s="6">
        <v>5</v>
      </c>
      <c r="B8" s="5" t="s">
        <v>808</v>
      </c>
      <c r="C8" s="5" t="s">
        <v>798</v>
      </c>
      <c r="D8" s="5" t="s">
        <v>806</v>
      </c>
      <c r="E8" s="5" t="s">
        <v>809</v>
      </c>
      <c r="F8" s="5" t="s">
        <v>79</v>
      </c>
      <c r="G8" s="6" t="s">
        <v>6</v>
      </c>
      <c r="H8" s="18">
        <v>4</v>
      </c>
    </row>
    <row r="9" spans="1:8" x14ac:dyDescent="0.25">
      <c r="A9" s="6">
        <v>6</v>
      </c>
      <c r="B9" s="5" t="s">
        <v>810</v>
      </c>
      <c r="C9" s="5" t="s">
        <v>798</v>
      </c>
      <c r="D9" s="5" t="s">
        <v>811</v>
      </c>
      <c r="E9" s="5" t="s">
        <v>812</v>
      </c>
      <c r="F9" s="5" t="s">
        <v>813</v>
      </c>
      <c r="G9" s="6" t="s">
        <v>6</v>
      </c>
      <c r="H9" s="18">
        <v>9</v>
      </c>
    </row>
    <row r="10" spans="1:8" x14ac:dyDescent="0.25">
      <c r="A10" s="6">
        <v>7</v>
      </c>
      <c r="B10" s="5" t="s">
        <v>814</v>
      </c>
      <c r="C10" s="5" t="s">
        <v>798</v>
      </c>
      <c r="D10" s="5" t="s">
        <v>811</v>
      </c>
      <c r="E10" s="5" t="s">
        <v>815</v>
      </c>
      <c r="F10" s="5" t="s">
        <v>816</v>
      </c>
      <c r="G10" s="6" t="s">
        <v>6</v>
      </c>
      <c r="H10" s="18">
        <v>2</v>
      </c>
    </row>
    <row r="11" spans="1:8" x14ac:dyDescent="0.25">
      <c r="A11" s="6">
        <v>8</v>
      </c>
      <c r="B11" s="5" t="s">
        <v>817</v>
      </c>
      <c r="C11" s="5" t="s">
        <v>798</v>
      </c>
      <c r="D11" s="5" t="s">
        <v>811</v>
      </c>
      <c r="E11" s="5" t="s">
        <v>818</v>
      </c>
      <c r="F11" s="5" t="s">
        <v>819</v>
      </c>
      <c r="G11" s="6" t="s">
        <v>6</v>
      </c>
      <c r="H11" s="18">
        <v>29</v>
      </c>
    </row>
    <row r="12" spans="1:8" x14ac:dyDescent="0.25">
      <c r="A12" s="6">
        <v>9</v>
      </c>
      <c r="B12" s="5" t="s">
        <v>820</v>
      </c>
      <c r="C12" s="5" t="s">
        <v>798</v>
      </c>
      <c r="D12" s="5" t="s">
        <v>821</v>
      </c>
      <c r="E12" s="5" t="s">
        <v>822</v>
      </c>
      <c r="F12" s="5" t="s">
        <v>823</v>
      </c>
      <c r="G12" s="6" t="s">
        <v>6</v>
      </c>
      <c r="H12" s="18">
        <v>3</v>
      </c>
    </row>
    <row r="13" spans="1:8" x14ac:dyDescent="0.25">
      <c r="A13" s="6">
        <v>10</v>
      </c>
      <c r="B13" s="5" t="s">
        <v>824</v>
      </c>
      <c r="C13" s="5" t="s">
        <v>798</v>
      </c>
      <c r="D13" s="5" t="s">
        <v>821</v>
      </c>
      <c r="E13" s="5" t="s">
        <v>825</v>
      </c>
      <c r="F13" s="5" t="s">
        <v>102</v>
      </c>
      <c r="G13" s="6" t="s">
        <v>6</v>
      </c>
      <c r="H13" s="18">
        <v>40</v>
      </c>
    </row>
    <row r="14" spans="1:8" x14ac:dyDescent="0.25">
      <c r="A14" s="6">
        <v>11</v>
      </c>
      <c r="B14" s="5" t="s">
        <v>826</v>
      </c>
      <c r="C14" s="5" t="s">
        <v>827</v>
      </c>
      <c r="D14" s="5" t="s">
        <v>828</v>
      </c>
      <c r="E14" s="5" t="s">
        <v>829</v>
      </c>
      <c r="F14" s="5" t="s">
        <v>79</v>
      </c>
      <c r="G14" s="6" t="s">
        <v>6</v>
      </c>
      <c r="H14" s="18">
        <v>35</v>
      </c>
    </row>
    <row r="15" spans="1:8" x14ac:dyDescent="0.25">
      <c r="A15" s="6">
        <v>12</v>
      </c>
      <c r="B15" s="5" t="s">
        <v>830</v>
      </c>
      <c r="C15" s="5" t="s">
        <v>827</v>
      </c>
      <c r="D15" s="5" t="s">
        <v>828</v>
      </c>
      <c r="E15" s="5" t="s">
        <v>831</v>
      </c>
      <c r="F15" s="5" t="s">
        <v>832</v>
      </c>
      <c r="G15" s="6" t="s">
        <v>6</v>
      </c>
      <c r="H15" s="18">
        <v>11</v>
      </c>
    </row>
    <row r="16" spans="1:8" x14ac:dyDescent="0.25">
      <c r="A16" s="6">
        <v>13</v>
      </c>
      <c r="B16" s="5" t="s">
        <v>833</v>
      </c>
      <c r="C16" s="5" t="s">
        <v>827</v>
      </c>
      <c r="D16" s="5" t="s">
        <v>828</v>
      </c>
      <c r="E16" s="5" t="s">
        <v>834</v>
      </c>
      <c r="F16" s="5" t="s">
        <v>835</v>
      </c>
      <c r="G16" s="6" t="s">
        <v>6</v>
      </c>
      <c r="H16" s="18">
        <v>48</v>
      </c>
    </row>
    <row r="17" spans="1:8" x14ac:dyDescent="0.25">
      <c r="A17" s="6">
        <v>14</v>
      </c>
      <c r="B17" s="5" t="s">
        <v>836</v>
      </c>
      <c r="C17" s="5" t="s">
        <v>827</v>
      </c>
      <c r="D17" s="5" t="s">
        <v>837</v>
      </c>
      <c r="E17" s="5" t="s">
        <v>193</v>
      </c>
      <c r="F17" s="5" t="s">
        <v>60</v>
      </c>
      <c r="G17" s="6" t="s">
        <v>6</v>
      </c>
      <c r="H17" s="18">
        <v>5</v>
      </c>
    </row>
    <row r="18" spans="1:8" x14ac:dyDescent="0.25">
      <c r="A18" s="6">
        <v>15</v>
      </c>
      <c r="B18" s="5" t="s">
        <v>838</v>
      </c>
      <c r="C18" s="5" t="s">
        <v>827</v>
      </c>
      <c r="D18" s="5" t="s">
        <v>837</v>
      </c>
      <c r="E18" s="5" t="s">
        <v>839</v>
      </c>
      <c r="F18" s="5" t="s">
        <v>840</v>
      </c>
      <c r="G18" s="6" t="s">
        <v>6</v>
      </c>
      <c r="H18" s="18">
        <v>4</v>
      </c>
    </row>
    <row r="19" spans="1:8" x14ac:dyDescent="0.25">
      <c r="A19" s="6">
        <v>16</v>
      </c>
      <c r="B19" s="5" t="s">
        <v>841</v>
      </c>
      <c r="C19" s="5" t="s">
        <v>827</v>
      </c>
      <c r="D19" s="5" t="s">
        <v>837</v>
      </c>
      <c r="E19" s="5" t="s">
        <v>842</v>
      </c>
      <c r="F19" s="5" t="s">
        <v>157</v>
      </c>
      <c r="G19" s="6" t="s">
        <v>6</v>
      </c>
      <c r="H19" s="18">
        <v>3</v>
      </c>
    </row>
    <row r="20" spans="1:8" x14ac:dyDescent="0.25">
      <c r="A20" s="6">
        <v>17</v>
      </c>
      <c r="B20" s="5" t="s">
        <v>843</v>
      </c>
      <c r="C20" s="5" t="s">
        <v>827</v>
      </c>
      <c r="D20" s="5" t="s">
        <v>837</v>
      </c>
      <c r="E20" s="5" t="s">
        <v>844</v>
      </c>
      <c r="F20" s="5" t="s">
        <v>102</v>
      </c>
      <c r="G20" s="6" t="s">
        <v>6</v>
      </c>
      <c r="H20" s="18">
        <v>10</v>
      </c>
    </row>
    <row r="21" spans="1:8" x14ac:dyDescent="0.25">
      <c r="A21" s="6">
        <v>18</v>
      </c>
      <c r="B21" s="5" t="s">
        <v>845</v>
      </c>
      <c r="C21" s="5" t="s">
        <v>827</v>
      </c>
      <c r="D21" s="5" t="s">
        <v>846</v>
      </c>
      <c r="E21" s="5" t="s">
        <v>847</v>
      </c>
      <c r="F21" s="5" t="s">
        <v>848</v>
      </c>
      <c r="G21" s="6" t="s">
        <v>6</v>
      </c>
      <c r="H21" s="18">
        <v>0</v>
      </c>
    </row>
    <row r="22" spans="1:8" x14ac:dyDescent="0.25">
      <c r="A22" s="6">
        <v>19</v>
      </c>
      <c r="B22" s="5" t="s">
        <v>849</v>
      </c>
      <c r="C22" s="5" t="s">
        <v>827</v>
      </c>
      <c r="D22" s="5" t="s">
        <v>846</v>
      </c>
      <c r="E22" s="5" t="s">
        <v>850</v>
      </c>
      <c r="F22" s="5" t="s">
        <v>851</v>
      </c>
      <c r="G22" s="6" t="s">
        <v>6</v>
      </c>
      <c r="H22" s="18">
        <v>1</v>
      </c>
    </row>
    <row r="23" spans="1:8" x14ac:dyDescent="0.25">
      <c r="A23" s="6">
        <v>20</v>
      </c>
      <c r="B23" s="5" t="s">
        <v>852</v>
      </c>
      <c r="C23" s="5" t="s">
        <v>853</v>
      </c>
      <c r="D23" s="5" t="s">
        <v>854</v>
      </c>
      <c r="E23" s="5" t="s">
        <v>855</v>
      </c>
      <c r="F23" s="5" t="s">
        <v>856</v>
      </c>
      <c r="G23" s="6" t="s">
        <v>6</v>
      </c>
      <c r="H23" s="18">
        <v>3</v>
      </c>
    </row>
    <row r="24" spans="1:8" x14ac:dyDescent="0.25">
      <c r="A24" s="6">
        <v>21</v>
      </c>
      <c r="B24" s="5" t="s">
        <v>857</v>
      </c>
      <c r="C24" s="5" t="s">
        <v>853</v>
      </c>
      <c r="D24" s="5" t="s">
        <v>854</v>
      </c>
      <c r="E24" s="5" t="s">
        <v>858</v>
      </c>
      <c r="F24" s="5" t="s">
        <v>79</v>
      </c>
      <c r="G24" s="6" t="s">
        <v>6</v>
      </c>
      <c r="H24" s="18">
        <v>0</v>
      </c>
    </row>
    <row r="25" spans="1:8" x14ac:dyDescent="0.25">
      <c r="A25" s="6">
        <v>22</v>
      </c>
      <c r="B25" s="5" t="s">
        <v>859</v>
      </c>
      <c r="C25" s="5" t="s">
        <v>853</v>
      </c>
      <c r="D25" s="5" t="s">
        <v>854</v>
      </c>
      <c r="E25" s="5" t="s">
        <v>860</v>
      </c>
      <c r="F25" s="5" t="s">
        <v>79</v>
      </c>
      <c r="G25" s="6" t="s">
        <v>6</v>
      </c>
      <c r="H25" s="18">
        <v>1</v>
      </c>
    </row>
    <row r="26" spans="1:8" x14ac:dyDescent="0.25">
      <c r="A26" s="6">
        <v>23</v>
      </c>
      <c r="B26" s="5" t="s">
        <v>861</v>
      </c>
      <c r="C26" s="5" t="s">
        <v>853</v>
      </c>
      <c r="D26" s="5" t="s">
        <v>854</v>
      </c>
      <c r="E26" s="5" t="s">
        <v>862</v>
      </c>
      <c r="F26" s="5" t="s">
        <v>79</v>
      </c>
      <c r="G26" s="6" t="s">
        <v>6</v>
      </c>
      <c r="H26" s="18">
        <v>0</v>
      </c>
    </row>
    <row r="27" spans="1:8" x14ac:dyDescent="0.25">
      <c r="A27" s="6">
        <v>24</v>
      </c>
      <c r="B27" s="5" t="s">
        <v>863</v>
      </c>
      <c r="C27" s="5" t="s">
        <v>853</v>
      </c>
      <c r="D27" s="5" t="s">
        <v>854</v>
      </c>
      <c r="E27" s="5" t="s">
        <v>864</v>
      </c>
      <c r="F27" s="5" t="s">
        <v>865</v>
      </c>
      <c r="G27" s="6" t="s">
        <v>6</v>
      </c>
      <c r="H27" s="18">
        <v>1</v>
      </c>
    </row>
    <row r="28" spans="1:8" x14ac:dyDescent="0.25">
      <c r="A28" s="6">
        <v>25</v>
      </c>
      <c r="B28" s="5" t="s">
        <v>866</v>
      </c>
      <c r="C28" s="5" t="s">
        <v>853</v>
      </c>
      <c r="D28" s="5" t="s">
        <v>854</v>
      </c>
      <c r="E28" s="5" t="s">
        <v>867</v>
      </c>
      <c r="F28" s="5" t="s">
        <v>868</v>
      </c>
      <c r="G28" s="6" t="s">
        <v>6</v>
      </c>
      <c r="H28" s="18">
        <v>0</v>
      </c>
    </row>
    <row r="29" spans="1:8" x14ac:dyDescent="0.25">
      <c r="A29" s="6">
        <v>26</v>
      </c>
      <c r="B29" s="5" t="s">
        <v>869</v>
      </c>
      <c r="C29" s="5" t="s">
        <v>853</v>
      </c>
      <c r="D29" s="5" t="s">
        <v>854</v>
      </c>
      <c r="E29" s="5" t="s">
        <v>870</v>
      </c>
      <c r="F29" s="5" t="s">
        <v>79</v>
      </c>
      <c r="G29" s="6" t="s">
        <v>6</v>
      </c>
      <c r="H29" s="18">
        <v>0</v>
      </c>
    </row>
    <row r="30" spans="1:8" x14ac:dyDescent="0.25">
      <c r="A30" s="6">
        <v>27</v>
      </c>
      <c r="B30" s="5" t="s">
        <v>871</v>
      </c>
      <c r="C30" s="5" t="s">
        <v>853</v>
      </c>
      <c r="D30" s="5" t="s">
        <v>854</v>
      </c>
      <c r="E30" s="5" t="s">
        <v>872</v>
      </c>
      <c r="F30" s="5" t="s">
        <v>79</v>
      </c>
      <c r="G30" s="6" t="s">
        <v>6</v>
      </c>
      <c r="H30" s="18">
        <v>0</v>
      </c>
    </row>
    <row r="31" spans="1:8" x14ac:dyDescent="0.25">
      <c r="A31" s="6">
        <v>28</v>
      </c>
      <c r="B31" s="5" t="s">
        <v>873</v>
      </c>
      <c r="C31" s="5" t="s">
        <v>853</v>
      </c>
      <c r="D31" s="5" t="s">
        <v>854</v>
      </c>
      <c r="E31" s="5" t="s">
        <v>874</v>
      </c>
      <c r="F31" s="5" t="s">
        <v>79</v>
      </c>
      <c r="G31" s="6" t="s">
        <v>6</v>
      </c>
      <c r="H31" s="18">
        <v>0</v>
      </c>
    </row>
    <row r="32" spans="1:8" x14ac:dyDescent="0.25">
      <c r="A32" s="6">
        <v>29</v>
      </c>
      <c r="B32" s="5" t="s">
        <v>875</v>
      </c>
      <c r="C32" s="5" t="s">
        <v>853</v>
      </c>
      <c r="D32" s="5" t="s">
        <v>854</v>
      </c>
      <c r="E32" s="5" t="s">
        <v>876</v>
      </c>
      <c r="F32" s="5" t="s">
        <v>79</v>
      </c>
      <c r="G32" s="6" t="s">
        <v>6</v>
      </c>
      <c r="H32" s="18">
        <v>0</v>
      </c>
    </row>
    <row r="33" spans="1:8" x14ac:dyDescent="0.25">
      <c r="A33" s="6">
        <v>30</v>
      </c>
      <c r="B33" s="5" t="s">
        <v>877</v>
      </c>
      <c r="C33" s="5" t="s">
        <v>853</v>
      </c>
      <c r="D33" s="5" t="s">
        <v>878</v>
      </c>
      <c r="E33" s="5" t="s">
        <v>879</v>
      </c>
      <c r="F33" s="5" t="s">
        <v>60</v>
      </c>
      <c r="G33" s="6" t="s">
        <v>6</v>
      </c>
      <c r="H33" s="18">
        <v>75</v>
      </c>
    </row>
    <row r="34" spans="1:8" x14ac:dyDescent="0.25">
      <c r="A34" s="6">
        <v>31</v>
      </c>
      <c r="B34" s="5" t="s">
        <v>880</v>
      </c>
      <c r="C34" s="5" t="s">
        <v>853</v>
      </c>
      <c r="D34" s="5" t="s">
        <v>878</v>
      </c>
      <c r="E34" s="5" t="s">
        <v>881</v>
      </c>
      <c r="F34" s="5" t="s">
        <v>79</v>
      </c>
      <c r="G34" s="6" t="s">
        <v>6</v>
      </c>
      <c r="H34" s="18">
        <v>24</v>
      </c>
    </row>
    <row r="35" spans="1:8" x14ac:dyDescent="0.25">
      <c r="A35" s="6">
        <v>32</v>
      </c>
      <c r="B35" s="5" t="s">
        <v>882</v>
      </c>
      <c r="C35" s="5" t="s">
        <v>853</v>
      </c>
      <c r="D35" s="5" t="s">
        <v>878</v>
      </c>
      <c r="E35" s="5" t="s">
        <v>883</v>
      </c>
      <c r="F35" s="5" t="s">
        <v>79</v>
      </c>
      <c r="G35" s="6" t="s">
        <v>6</v>
      </c>
      <c r="H35" s="18">
        <v>8</v>
      </c>
    </row>
    <row r="36" spans="1:8" x14ac:dyDescent="0.25">
      <c r="A36" s="6">
        <v>33</v>
      </c>
      <c r="B36" s="5" t="s">
        <v>884</v>
      </c>
      <c r="C36" s="5" t="s">
        <v>853</v>
      </c>
      <c r="D36" s="5" t="s">
        <v>878</v>
      </c>
      <c r="E36" s="5" t="s">
        <v>885</v>
      </c>
      <c r="F36" s="5" t="s">
        <v>79</v>
      </c>
      <c r="G36" s="6" t="s">
        <v>6</v>
      </c>
      <c r="H36" s="18">
        <v>56</v>
      </c>
    </row>
    <row r="37" spans="1:8" x14ac:dyDescent="0.25">
      <c r="A37" s="6">
        <v>34</v>
      </c>
      <c r="B37" s="5" t="s">
        <v>886</v>
      </c>
      <c r="C37" s="5" t="s">
        <v>853</v>
      </c>
      <c r="D37" s="5" t="s">
        <v>878</v>
      </c>
      <c r="E37" s="5" t="s">
        <v>887</v>
      </c>
      <c r="F37" s="5" t="s">
        <v>79</v>
      </c>
      <c r="G37" s="6" t="s">
        <v>6</v>
      </c>
      <c r="H37" s="18">
        <v>3</v>
      </c>
    </row>
    <row r="38" spans="1:8" x14ac:dyDescent="0.25">
      <c r="A38" s="6">
        <v>35</v>
      </c>
      <c r="B38" s="5" t="s">
        <v>888</v>
      </c>
      <c r="C38" s="5" t="s">
        <v>853</v>
      </c>
      <c r="D38" s="5" t="s">
        <v>878</v>
      </c>
      <c r="E38" s="5" t="s">
        <v>889</v>
      </c>
      <c r="F38" s="5" t="s">
        <v>79</v>
      </c>
      <c r="G38" s="6" t="s">
        <v>6</v>
      </c>
      <c r="H38" s="18">
        <v>8</v>
      </c>
    </row>
    <row r="39" spans="1:8" x14ac:dyDescent="0.25">
      <c r="A39" s="6">
        <v>36</v>
      </c>
      <c r="B39" s="5" t="s">
        <v>890</v>
      </c>
      <c r="C39" s="5" t="s">
        <v>891</v>
      </c>
      <c r="D39" s="5" t="s">
        <v>892</v>
      </c>
      <c r="E39" s="5" t="s">
        <v>893</v>
      </c>
      <c r="F39" s="5" t="s">
        <v>79</v>
      </c>
      <c r="G39" s="6" t="s">
        <v>6</v>
      </c>
      <c r="H39" s="18">
        <v>1</v>
      </c>
    </row>
    <row r="40" spans="1:8" x14ac:dyDescent="0.25">
      <c r="A40" s="6">
        <v>37</v>
      </c>
      <c r="B40" s="5" t="s">
        <v>894</v>
      </c>
      <c r="C40" s="5" t="s">
        <v>891</v>
      </c>
      <c r="D40" s="5" t="s">
        <v>892</v>
      </c>
      <c r="E40" s="5" t="s">
        <v>895</v>
      </c>
      <c r="F40" s="5" t="s">
        <v>79</v>
      </c>
      <c r="G40" s="6" t="s">
        <v>6</v>
      </c>
      <c r="H40" s="18">
        <v>0</v>
      </c>
    </row>
    <row r="41" spans="1:8" x14ac:dyDescent="0.25">
      <c r="A41" s="6">
        <v>38</v>
      </c>
      <c r="B41" s="5" t="s">
        <v>896</v>
      </c>
      <c r="C41" s="5" t="s">
        <v>891</v>
      </c>
      <c r="D41" s="5" t="s">
        <v>897</v>
      </c>
      <c r="E41" s="5" t="s">
        <v>898</v>
      </c>
      <c r="F41" s="5" t="s">
        <v>899</v>
      </c>
      <c r="G41" s="6" t="s">
        <v>6</v>
      </c>
      <c r="H41" s="18">
        <v>19</v>
      </c>
    </row>
    <row r="42" spans="1:8" x14ac:dyDescent="0.25">
      <c r="A42" s="6">
        <v>39</v>
      </c>
      <c r="B42" s="5" t="s">
        <v>900</v>
      </c>
      <c r="C42" s="5" t="s">
        <v>891</v>
      </c>
      <c r="D42" s="5" t="s">
        <v>897</v>
      </c>
      <c r="E42" s="5" t="s">
        <v>901</v>
      </c>
      <c r="F42" s="5" t="s">
        <v>902</v>
      </c>
      <c r="G42" s="6" t="s">
        <v>6</v>
      </c>
      <c r="H42" s="18">
        <v>1</v>
      </c>
    </row>
    <row r="43" spans="1:8" x14ac:dyDescent="0.25">
      <c r="A43" s="6">
        <v>40</v>
      </c>
      <c r="B43" s="5" t="s">
        <v>903</v>
      </c>
      <c r="C43" s="5" t="s">
        <v>891</v>
      </c>
      <c r="D43" s="5" t="s">
        <v>897</v>
      </c>
      <c r="E43" s="5" t="s">
        <v>904</v>
      </c>
      <c r="F43" s="5" t="s">
        <v>905</v>
      </c>
      <c r="G43" s="6" t="s">
        <v>6</v>
      </c>
      <c r="H43" s="18">
        <v>0</v>
      </c>
    </row>
    <row r="44" spans="1:8" x14ac:dyDescent="0.25">
      <c r="A44" s="6">
        <v>41</v>
      </c>
      <c r="B44" s="5" t="s">
        <v>906</v>
      </c>
      <c r="C44" s="5" t="s">
        <v>891</v>
      </c>
      <c r="D44" s="5" t="s">
        <v>897</v>
      </c>
      <c r="E44" s="5" t="s">
        <v>907</v>
      </c>
      <c r="F44" s="5" t="s">
        <v>79</v>
      </c>
      <c r="G44" s="6" t="s">
        <v>6</v>
      </c>
      <c r="H44" s="18">
        <v>1</v>
      </c>
    </row>
    <row r="45" spans="1:8" x14ac:dyDescent="0.25">
      <c r="A45" s="6">
        <v>42</v>
      </c>
      <c r="B45" s="5" t="s">
        <v>908</v>
      </c>
      <c r="C45" s="5" t="s">
        <v>891</v>
      </c>
      <c r="D45" s="5" t="s">
        <v>897</v>
      </c>
      <c r="E45" s="5" t="s">
        <v>909</v>
      </c>
      <c r="F45" s="5" t="s">
        <v>910</v>
      </c>
      <c r="G45" s="6" t="s">
        <v>6</v>
      </c>
      <c r="H45" s="18">
        <v>1</v>
      </c>
    </row>
    <row r="46" spans="1:8" x14ac:dyDescent="0.25">
      <c r="A46" s="6">
        <v>43</v>
      </c>
      <c r="B46" s="5" t="s">
        <v>911</v>
      </c>
      <c r="C46" s="5" t="s">
        <v>891</v>
      </c>
      <c r="D46" s="5" t="s">
        <v>897</v>
      </c>
      <c r="E46" s="5" t="s">
        <v>912</v>
      </c>
      <c r="F46" s="5" t="s">
        <v>913</v>
      </c>
      <c r="G46" s="6" t="s">
        <v>6</v>
      </c>
      <c r="H46" s="18">
        <v>1</v>
      </c>
    </row>
    <row r="47" spans="1:8" x14ac:dyDescent="0.25">
      <c r="A47" s="6">
        <v>44</v>
      </c>
      <c r="B47" s="5" t="s">
        <v>914</v>
      </c>
      <c r="C47" s="5" t="s">
        <v>891</v>
      </c>
      <c r="D47" s="5" t="s">
        <v>897</v>
      </c>
      <c r="E47" s="5" t="s">
        <v>915</v>
      </c>
      <c r="F47" s="5" t="s">
        <v>916</v>
      </c>
      <c r="G47" s="6" t="s">
        <v>6</v>
      </c>
      <c r="H47" s="18">
        <v>2</v>
      </c>
    </row>
    <row r="48" spans="1:8" x14ac:dyDescent="0.25">
      <c r="A48" s="6">
        <v>45</v>
      </c>
      <c r="B48" s="5" t="s">
        <v>917</v>
      </c>
      <c r="C48" s="5" t="s">
        <v>891</v>
      </c>
      <c r="D48" s="5" t="s">
        <v>897</v>
      </c>
      <c r="E48" s="5" t="s">
        <v>918</v>
      </c>
      <c r="F48" s="5" t="s">
        <v>919</v>
      </c>
      <c r="G48" s="6" t="s">
        <v>6</v>
      </c>
      <c r="H48" s="18">
        <v>2</v>
      </c>
    </row>
    <row r="49" spans="1:8" x14ac:dyDescent="0.25">
      <c r="A49" s="6">
        <v>46</v>
      </c>
      <c r="B49" s="5" t="s">
        <v>920</v>
      </c>
      <c r="C49" s="5" t="s">
        <v>891</v>
      </c>
      <c r="D49" s="5" t="s">
        <v>897</v>
      </c>
      <c r="E49" s="5" t="s">
        <v>921</v>
      </c>
      <c r="F49" s="5" t="s">
        <v>922</v>
      </c>
      <c r="G49" s="6" t="s">
        <v>6</v>
      </c>
      <c r="H49" s="18">
        <v>1</v>
      </c>
    </row>
    <row r="50" spans="1:8" x14ac:dyDescent="0.25">
      <c r="A50" s="6">
        <v>47</v>
      </c>
      <c r="B50" s="5" t="s">
        <v>923</v>
      </c>
      <c r="C50" s="5" t="s">
        <v>891</v>
      </c>
      <c r="D50" s="5" t="s">
        <v>897</v>
      </c>
      <c r="E50" s="5" t="s">
        <v>924</v>
      </c>
      <c r="F50" s="5" t="s">
        <v>925</v>
      </c>
      <c r="G50" s="6" t="s">
        <v>6</v>
      </c>
      <c r="H50" s="18">
        <v>2</v>
      </c>
    </row>
    <row r="51" spans="1:8" x14ac:dyDescent="0.25">
      <c r="A51" s="6">
        <v>48</v>
      </c>
      <c r="B51" s="5" t="s">
        <v>926</v>
      </c>
      <c r="C51" s="5" t="s">
        <v>891</v>
      </c>
      <c r="D51" s="5" t="s">
        <v>897</v>
      </c>
      <c r="E51" s="5" t="s">
        <v>927</v>
      </c>
      <c r="F51" s="5" t="s">
        <v>928</v>
      </c>
      <c r="G51" s="6" t="s">
        <v>6</v>
      </c>
      <c r="H51" s="18">
        <v>1</v>
      </c>
    </row>
    <row r="52" spans="1:8" x14ac:dyDescent="0.25">
      <c r="A52" s="6">
        <v>49</v>
      </c>
      <c r="B52" s="5" t="s">
        <v>929</v>
      </c>
      <c r="C52" s="5" t="s">
        <v>891</v>
      </c>
      <c r="D52" s="5" t="s">
        <v>897</v>
      </c>
      <c r="E52" s="5" t="s">
        <v>930</v>
      </c>
      <c r="F52" s="5" t="s">
        <v>79</v>
      </c>
      <c r="G52" s="6" t="s">
        <v>6</v>
      </c>
      <c r="H52" s="18">
        <v>0</v>
      </c>
    </row>
    <row r="53" spans="1:8" x14ac:dyDescent="0.25">
      <c r="A53" s="6">
        <v>50</v>
      </c>
      <c r="B53" s="5" t="s">
        <v>931</v>
      </c>
      <c r="C53" s="5" t="s">
        <v>932</v>
      </c>
      <c r="D53" s="5" t="s">
        <v>933</v>
      </c>
      <c r="E53" s="5" t="s">
        <v>934</v>
      </c>
      <c r="F53" s="5" t="s">
        <v>935</v>
      </c>
      <c r="G53" s="6" t="s">
        <v>6</v>
      </c>
      <c r="H53" s="18">
        <v>33</v>
      </c>
    </row>
    <row r="54" spans="1:8" x14ac:dyDescent="0.25">
      <c r="A54" s="6">
        <v>51</v>
      </c>
      <c r="B54" s="5" t="s">
        <v>936</v>
      </c>
      <c r="C54" s="5" t="s">
        <v>932</v>
      </c>
      <c r="D54" s="5" t="s">
        <v>933</v>
      </c>
      <c r="E54" s="5" t="s">
        <v>937</v>
      </c>
      <c r="F54" s="5" t="s">
        <v>79</v>
      </c>
      <c r="G54" s="6" t="s">
        <v>6</v>
      </c>
      <c r="H54" s="18">
        <v>7</v>
      </c>
    </row>
    <row r="55" spans="1:8" x14ac:dyDescent="0.25">
      <c r="A55" s="6">
        <v>52</v>
      </c>
      <c r="B55" s="5" t="s">
        <v>938</v>
      </c>
      <c r="C55" s="5" t="s">
        <v>932</v>
      </c>
      <c r="D55" s="5" t="s">
        <v>933</v>
      </c>
      <c r="E55" s="5" t="s">
        <v>939</v>
      </c>
      <c r="F55" s="5" t="s">
        <v>79</v>
      </c>
      <c r="G55" s="6" t="s">
        <v>6</v>
      </c>
      <c r="H55" s="18">
        <v>3</v>
      </c>
    </row>
    <row r="56" spans="1:8" x14ac:dyDescent="0.25">
      <c r="A56" s="6">
        <v>53</v>
      </c>
      <c r="B56" s="5" t="s">
        <v>940</v>
      </c>
      <c r="C56" s="5" t="s">
        <v>932</v>
      </c>
      <c r="D56" s="5" t="s">
        <v>933</v>
      </c>
      <c r="E56" s="5" t="s">
        <v>941</v>
      </c>
      <c r="F56" s="5" t="s">
        <v>79</v>
      </c>
      <c r="G56" s="6" t="s">
        <v>6</v>
      </c>
      <c r="H56" s="18">
        <v>11</v>
      </c>
    </row>
    <row r="57" spans="1:8" x14ac:dyDescent="0.25">
      <c r="A57" s="6">
        <v>54</v>
      </c>
      <c r="B57" s="5" t="s">
        <v>942</v>
      </c>
      <c r="C57" s="5" t="s">
        <v>932</v>
      </c>
      <c r="D57" s="5" t="s">
        <v>933</v>
      </c>
      <c r="E57" s="5" t="s">
        <v>943</v>
      </c>
      <c r="F57" s="5" t="s">
        <v>944</v>
      </c>
      <c r="G57" s="6" t="s">
        <v>6</v>
      </c>
      <c r="H57" s="18">
        <v>15</v>
      </c>
    </row>
    <row r="58" spans="1:8" x14ac:dyDescent="0.25">
      <c r="A58" s="6">
        <v>55</v>
      </c>
      <c r="B58" s="5" t="s">
        <v>945</v>
      </c>
      <c r="C58" s="5" t="s">
        <v>932</v>
      </c>
      <c r="D58" s="5" t="s">
        <v>933</v>
      </c>
      <c r="E58" s="5" t="s">
        <v>946</v>
      </c>
      <c r="F58" s="5" t="s">
        <v>79</v>
      </c>
      <c r="G58" s="6" t="s">
        <v>6</v>
      </c>
      <c r="H58" s="18">
        <v>3</v>
      </c>
    </row>
    <row r="59" spans="1:8" x14ac:dyDescent="0.25">
      <c r="A59" s="6">
        <v>56</v>
      </c>
      <c r="B59" s="5" t="s">
        <v>947</v>
      </c>
      <c r="C59" s="5" t="s">
        <v>948</v>
      </c>
      <c r="D59" s="5" t="s">
        <v>949</v>
      </c>
      <c r="E59" s="5" t="s">
        <v>950</v>
      </c>
      <c r="F59" s="5" t="s">
        <v>79</v>
      </c>
      <c r="G59" s="6" t="s">
        <v>6</v>
      </c>
      <c r="H59" s="18">
        <v>2</v>
      </c>
    </row>
    <row r="60" spans="1:8" x14ac:dyDescent="0.25">
      <c r="A60" s="6">
        <v>57</v>
      </c>
      <c r="B60" s="5" t="s">
        <v>951</v>
      </c>
      <c r="C60" s="5" t="s">
        <v>948</v>
      </c>
      <c r="D60" s="5" t="s">
        <v>949</v>
      </c>
      <c r="E60" s="5" t="s">
        <v>952</v>
      </c>
      <c r="F60" s="5" t="s">
        <v>953</v>
      </c>
      <c r="G60" s="6" t="s">
        <v>6</v>
      </c>
      <c r="H60" s="18">
        <v>0</v>
      </c>
    </row>
    <row r="61" spans="1:8" x14ac:dyDescent="0.25">
      <c r="A61" s="6">
        <v>58</v>
      </c>
      <c r="B61" s="5" t="s">
        <v>954</v>
      </c>
      <c r="C61" s="5" t="s">
        <v>948</v>
      </c>
      <c r="D61" s="5" t="s">
        <v>949</v>
      </c>
      <c r="E61" s="5" t="s">
        <v>955</v>
      </c>
      <c r="F61" s="5" t="s">
        <v>79</v>
      </c>
      <c r="G61" s="6" t="s">
        <v>6</v>
      </c>
      <c r="H61" s="18">
        <v>0</v>
      </c>
    </row>
    <row r="62" spans="1:8" x14ac:dyDescent="0.25">
      <c r="A62" s="6">
        <v>59</v>
      </c>
      <c r="B62" s="5" t="s">
        <v>956</v>
      </c>
      <c r="C62" s="5" t="s">
        <v>948</v>
      </c>
      <c r="D62" s="5" t="s">
        <v>949</v>
      </c>
      <c r="E62" s="5" t="s">
        <v>957</v>
      </c>
      <c r="F62" s="5" t="s">
        <v>79</v>
      </c>
      <c r="G62" s="6" t="s">
        <v>6</v>
      </c>
      <c r="H62" s="18">
        <v>0</v>
      </c>
    </row>
    <row r="63" spans="1:8" x14ac:dyDescent="0.25">
      <c r="A63" s="6">
        <v>60</v>
      </c>
      <c r="B63" s="5" t="s">
        <v>958</v>
      </c>
      <c r="C63" s="5" t="s">
        <v>948</v>
      </c>
      <c r="D63" s="5" t="s">
        <v>959</v>
      </c>
      <c r="E63" s="5" t="s">
        <v>960</v>
      </c>
      <c r="F63" s="5" t="s">
        <v>79</v>
      </c>
      <c r="G63" s="6" t="s">
        <v>6</v>
      </c>
      <c r="H63" s="18">
        <v>19</v>
      </c>
    </row>
    <row r="64" spans="1:8" x14ac:dyDescent="0.25">
      <c r="A64" s="6">
        <v>61</v>
      </c>
      <c r="B64" s="5" t="s">
        <v>961</v>
      </c>
      <c r="C64" s="5" t="s">
        <v>948</v>
      </c>
      <c r="D64" s="5" t="s">
        <v>959</v>
      </c>
      <c r="E64" s="5" t="s">
        <v>962</v>
      </c>
      <c r="F64" s="5" t="s">
        <v>79</v>
      </c>
      <c r="G64" s="6" t="s">
        <v>6</v>
      </c>
      <c r="H64" s="18">
        <v>4</v>
      </c>
    </row>
    <row r="65" spans="1:8" x14ac:dyDescent="0.25">
      <c r="A65" s="6">
        <v>62</v>
      </c>
      <c r="B65" s="5" t="s">
        <v>963</v>
      </c>
      <c r="C65" s="5" t="s">
        <v>948</v>
      </c>
      <c r="D65" s="5" t="s">
        <v>959</v>
      </c>
      <c r="E65" s="5" t="s">
        <v>964</v>
      </c>
      <c r="F65" s="5" t="s">
        <v>965</v>
      </c>
      <c r="G65" s="6" t="s">
        <v>6</v>
      </c>
      <c r="H65" s="18">
        <v>2</v>
      </c>
    </row>
    <row r="66" spans="1:8" x14ac:dyDescent="0.25">
      <c r="A66" s="6">
        <v>63</v>
      </c>
      <c r="B66" s="5" t="s">
        <v>966</v>
      </c>
      <c r="C66" s="5" t="s">
        <v>948</v>
      </c>
      <c r="D66" s="5" t="s">
        <v>959</v>
      </c>
      <c r="E66" s="5" t="s">
        <v>967</v>
      </c>
      <c r="F66" s="5" t="s">
        <v>79</v>
      </c>
      <c r="G66" s="6" t="s">
        <v>6</v>
      </c>
      <c r="H66" s="18">
        <v>2</v>
      </c>
    </row>
    <row r="67" spans="1:8" x14ac:dyDescent="0.25">
      <c r="A67" s="6">
        <v>64</v>
      </c>
      <c r="B67" s="5" t="s">
        <v>968</v>
      </c>
      <c r="C67" s="5" t="s">
        <v>948</v>
      </c>
      <c r="D67" s="5" t="s">
        <v>959</v>
      </c>
      <c r="E67" s="5" t="s">
        <v>969</v>
      </c>
      <c r="F67" s="5" t="s">
        <v>970</v>
      </c>
      <c r="G67" s="6" t="s">
        <v>6</v>
      </c>
      <c r="H67" s="18">
        <v>1</v>
      </c>
    </row>
    <row r="68" spans="1:8" x14ac:dyDescent="0.25">
      <c r="A68" s="6">
        <v>65</v>
      </c>
      <c r="B68" s="5" t="s">
        <v>971</v>
      </c>
      <c r="C68" s="5" t="s">
        <v>972</v>
      </c>
      <c r="D68" s="5" t="s">
        <v>973</v>
      </c>
      <c r="E68" s="5" t="s">
        <v>974</v>
      </c>
      <c r="F68" s="5" t="s">
        <v>79</v>
      </c>
      <c r="G68" s="6" t="s">
        <v>6</v>
      </c>
      <c r="H68" s="18">
        <v>1</v>
      </c>
    </row>
    <row r="69" spans="1:8" x14ac:dyDescent="0.25">
      <c r="A69" s="6">
        <v>66</v>
      </c>
      <c r="B69" s="5" t="s">
        <v>975</v>
      </c>
      <c r="C69" s="5" t="s">
        <v>972</v>
      </c>
      <c r="D69" s="5" t="s">
        <v>973</v>
      </c>
      <c r="E69" s="5" t="s">
        <v>976</v>
      </c>
      <c r="F69" s="5" t="s">
        <v>79</v>
      </c>
      <c r="G69" s="6" t="s">
        <v>6</v>
      </c>
      <c r="H69" s="18">
        <v>0</v>
      </c>
    </row>
    <row r="70" spans="1:8" x14ac:dyDescent="0.25">
      <c r="A70" s="6">
        <v>67</v>
      </c>
      <c r="B70" s="5" t="s">
        <v>977</v>
      </c>
      <c r="C70" s="5" t="s">
        <v>972</v>
      </c>
      <c r="D70" s="5" t="s">
        <v>978</v>
      </c>
      <c r="E70" s="5" t="s">
        <v>979</v>
      </c>
      <c r="F70" s="5" t="s">
        <v>980</v>
      </c>
      <c r="G70" s="6" t="s">
        <v>6</v>
      </c>
      <c r="H70" s="18">
        <v>58</v>
      </c>
    </row>
    <row r="71" spans="1:8" x14ac:dyDescent="0.25">
      <c r="A71" s="6">
        <v>68</v>
      </c>
      <c r="B71" s="5" t="s">
        <v>981</v>
      </c>
      <c r="C71" s="5" t="s">
        <v>972</v>
      </c>
      <c r="D71" s="5" t="s">
        <v>978</v>
      </c>
      <c r="E71" s="5" t="s">
        <v>982</v>
      </c>
      <c r="F71" s="5" t="s">
        <v>60</v>
      </c>
      <c r="G71" s="6" t="s">
        <v>6</v>
      </c>
      <c r="H71" s="18">
        <v>9</v>
      </c>
    </row>
    <row r="72" spans="1:8" x14ac:dyDescent="0.25">
      <c r="A72" s="6">
        <v>69</v>
      </c>
      <c r="B72" s="5" t="s">
        <v>983</v>
      </c>
      <c r="C72" s="5" t="s">
        <v>972</v>
      </c>
      <c r="D72" s="5" t="s">
        <v>978</v>
      </c>
      <c r="E72" s="5" t="s">
        <v>984</v>
      </c>
      <c r="F72" s="5" t="s">
        <v>985</v>
      </c>
      <c r="G72" s="6" t="s">
        <v>6</v>
      </c>
      <c r="H72" s="18">
        <v>6</v>
      </c>
    </row>
    <row r="73" spans="1:8" x14ac:dyDescent="0.25">
      <c r="A73" s="6">
        <v>70</v>
      </c>
      <c r="B73" s="5" t="s">
        <v>986</v>
      </c>
      <c r="C73" s="5" t="s">
        <v>972</v>
      </c>
      <c r="D73" s="5" t="s">
        <v>978</v>
      </c>
      <c r="E73" s="5" t="s">
        <v>987</v>
      </c>
      <c r="F73" s="5" t="s">
        <v>157</v>
      </c>
      <c r="G73" s="6" t="s">
        <v>6</v>
      </c>
      <c r="H73" s="18">
        <v>5</v>
      </c>
    </row>
    <row r="74" spans="1:8" x14ac:dyDescent="0.25">
      <c r="A74" s="6">
        <v>71</v>
      </c>
      <c r="B74" s="5" t="s">
        <v>988</v>
      </c>
      <c r="C74" s="5" t="s">
        <v>972</v>
      </c>
      <c r="D74" s="5" t="s">
        <v>978</v>
      </c>
      <c r="E74" s="5" t="s">
        <v>989</v>
      </c>
      <c r="F74" s="5" t="s">
        <v>79</v>
      </c>
      <c r="G74" s="6" t="s">
        <v>6</v>
      </c>
      <c r="H74" s="18">
        <v>9</v>
      </c>
    </row>
    <row r="75" spans="1:8" x14ac:dyDescent="0.25">
      <c r="A75" s="6">
        <v>72</v>
      </c>
      <c r="B75" s="5" t="s">
        <v>990</v>
      </c>
      <c r="C75" s="5" t="s">
        <v>972</v>
      </c>
      <c r="D75" s="5" t="s">
        <v>978</v>
      </c>
      <c r="E75" s="5" t="s">
        <v>991</v>
      </c>
      <c r="F75" s="5" t="s">
        <v>992</v>
      </c>
      <c r="G75" s="6" t="s">
        <v>6</v>
      </c>
      <c r="H75" s="18">
        <v>6</v>
      </c>
    </row>
    <row r="76" spans="1:8" x14ac:dyDescent="0.25">
      <c r="A76" s="6">
        <v>73</v>
      </c>
      <c r="B76" s="5" t="s">
        <v>993</v>
      </c>
      <c r="C76" s="5" t="s">
        <v>972</v>
      </c>
      <c r="D76" s="5" t="s">
        <v>978</v>
      </c>
      <c r="E76" s="5" t="s">
        <v>994</v>
      </c>
      <c r="F76" s="5" t="s">
        <v>79</v>
      </c>
      <c r="G76" s="6" t="s">
        <v>6</v>
      </c>
      <c r="H76" s="18">
        <v>7</v>
      </c>
    </row>
    <row r="77" spans="1:8" x14ac:dyDescent="0.25">
      <c r="A77" s="6">
        <v>74</v>
      </c>
      <c r="B77" s="5" t="s">
        <v>995</v>
      </c>
      <c r="C77" s="5" t="s">
        <v>972</v>
      </c>
      <c r="D77" s="5" t="s">
        <v>978</v>
      </c>
      <c r="E77" s="5" t="s">
        <v>996</v>
      </c>
      <c r="F77" s="5" t="s">
        <v>79</v>
      </c>
      <c r="G77" s="6" t="s">
        <v>6</v>
      </c>
      <c r="H77" s="18">
        <v>8</v>
      </c>
    </row>
    <row r="78" spans="1:8" x14ac:dyDescent="0.25">
      <c r="A78" s="6">
        <v>75</v>
      </c>
      <c r="B78" s="5" t="s">
        <v>997</v>
      </c>
      <c r="C78" s="5" t="s">
        <v>972</v>
      </c>
      <c r="D78" s="5" t="s">
        <v>978</v>
      </c>
      <c r="E78" s="5" t="s">
        <v>998</v>
      </c>
      <c r="F78" s="5" t="s">
        <v>999</v>
      </c>
      <c r="G78" s="6" t="s">
        <v>6</v>
      </c>
      <c r="H78" s="18">
        <v>9</v>
      </c>
    </row>
    <row r="79" spans="1:8" x14ac:dyDescent="0.25">
      <c r="A79" s="6">
        <v>76</v>
      </c>
      <c r="B79" s="5" t="s">
        <v>1000</v>
      </c>
      <c r="C79" s="5" t="s">
        <v>972</v>
      </c>
      <c r="D79" s="5" t="s">
        <v>978</v>
      </c>
      <c r="E79" s="5" t="s">
        <v>1001</v>
      </c>
      <c r="F79" s="5" t="s">
        <v>79</v>
      </c>
      <c r="G79" s="6" t="s">
        <v>6</v>
      </c>
      <c r="H79" s="18">
        <v>4</v>
      </c>
    </row>
    <row r="80" spans="1:8" x14ac:dyDescent="0.25">
      <c r="A80" s="6">
        <v>77</v>
      </c>
      <c r="B80" s="5" t="s">
        <v>1002</v>
      </c>
      <c r="C80" s="5" t="s">
        <v>972</v>
      </c>
      <c r="D80" s="5" t="s">
        <v>978</v>
      </c>
      <c r="E80" s="5" t="s">
        <v>1003</v>
      </c>
      <c r="F80" s="5" t="s">
        <v>79</v>
      </c>
      <c r="G80" s="6" t="s">
        <v>6</v>
      </c>
      <c r="H80" s="18">
        <v>3</v>
      </c>
    </row>
  </sheetData>
  <autoFilter ref="A3:H80"/>
  <conditionalFormatting sqref="G4:G80">
    <cfRule type="containsText" dxfId="6" priority="1">
      <formula>NOT(ISERROR(SEARCH("ไม่ผ่าน",G4)))</formula>
    </cfRule>
    <cfRule type="containsText" dxfId="7" priority="2">
      <formula>NOT(ISERROR(SEARCH("ผ่าน",G4)))</formula>
    </cfRule>
    <cfRule type="containsText" dxfId="8" priority="3">
      <formula>NOT(ISERROR(SEARCH("ข้าม",G4)))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6" customWidth="1"/>
    <col min="4" max="4" width="30" customWidth="1"/>
    <col min="5" max="5" width="56" customWidth="1"/>
    <col min="6" max="6" width="40" customWidth="1"/>
    <col min="7" max="7" width="11" customWidth="1"/>
    <col min="8" max="8" width="10" customWidth="1"/>
  </cols>
  <sheetData>
    <row r="1" spans="1:1" x14ac:dyDescent="0.25">
      <c r="A1" s="17" t="s">
        <v>1004</v>
      </c>
    </row>
    <row r="2" spans="1:1" x14ac:dyDescent="0.25">
      <c r="A2" s="2" t="s">
        <v>1005</v>
      </c>
    </row>
    <row r="3" ht="30" customHeight="1" spans="1:8" x14ac:dyDescent="0.25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spans="1:8" x14ac:dyDescent="0.25">
      <c r="A4" s="6">
        <v>1</v>
      </c>
      <c r="B4" s="5" t="s">
        <v>1006</v>
      </c>
      <c r="C4" s="5" t="s">
        <v>1007</v>
      </c>
      <c r="D4" s="5" t="s">
        <v>1008</v>
      </c>
      <c r="E4" s="5" t="s">
        <v>1009</v>
      </c>
      <c r="F4" s="5" t="s">
        <v>79</v>
      </c>
      <c r="G4" s="6" t="s">
        <v>6</v>
      </c>
      <c r="H4" s="18">
        <v>3</v>
      </c>
    </row>
    <row r="5" spans="1:8" x14ac:dyDescent="0.25">
      <c r="A5" s="6">
        <v>2</v>
      </c>
      <c r="B5" s="5" t="s">
        <v>1010</v>
      </c>
      <c r="C5" s="5" t="s">
        <v>1007</v>
      </c>
      <c r="D5" s="5" t="s">
        <v>1008</v>
      </c>
      <c r="E5" s="5" t="s">
        <v>1011</v>
      </c>
      <c r="F5" s="5" t="s">
        <v>1012</v>
      </c>
      <c r="G5" s="6" t="s">
        <v>6</v>
      </c>
      <c r="H5" s="18">
        <v>4</v>
      </c>
    </row>
    <row r="6" spans="1:8" x14ac:dyDescent="0.25">
      <c r="A6" s="6">
        <v>3</v>
      </c>
      <c r="B6" s="5" t="s">
        <v>1013</v>
      </c>
      <c r="C6" s="5" t="s">
        <v>1007</v>
      </c>
      <c r="D6" s="5" t="s">
        <v>1008</v>
      </c>
      <c r="E6" s="5" t="s">
        <v>193</v>
      </c>
      <c r="F6" s="5" t="s">
        <v>1014</v>
      </c>
      <c r="G6" s="6" t="s">
        <v>6</v>
      </c>
      <c r="H6" s="18">
        <v>1</v>
      </c>
    </row>
    <row r="7" spans="1:8" x14ac:dyDescent="0.25">
      <c r="A7" s="6">
        <v>4</v>
      </c>
      <c r="B7" s="5" t="s">
        <v>1015</v>
      </c>
      <c r="C7" s="5" t="s">
        <v>1007</v>
      </c>
      <c r="D7" s="5" t="s">
        <v>1008</v>
      </c>
      <c r="E7" s="5" t="s">
        <v>1016</v>
      </c>
      <c r="F7" s="5" t="s">
        <v>1017</v>
      </c>
      <c r="G7" s="6" t="s">
        <v>6</v>
      </c>
      <c r="H7" s="18">
        <v>11</v>
      </c>
    </row>
    <row r="8" spans="1:8" x14ac:dyDescent="0.25">
      <c r="A8" s="6">
        <v>5</v>
      </c>
      <c r="B8" s="5" t="s">
        <v>1018</v>
      </c>
      <c r="C8" s="5" t="s">
        <v>1007</v>
      </c>
      <c r="D8" s="5" t="s">
        <v>1008</v>
      </c>
      <c r="E8" s="5" t="s">
        <v>1019</v>
      </c>
      <c r="F8" s="5" t="s">
        <v>1020</v>
      </c>
      <c r="G8" s="6" t="s">
        <v>6</v>
      </c>
      <c r="H8" s="18">
        <v>1</v>
      </c>
    </row>
    <row r="9" spans="1:8" x14ac:dyDescent="0.25">
      <c r="A9" s="6">
        <v>6</v>
      </c>
      <c r="B9" s="5" t="s">
        <v>1021</v>
      </c>
      <c r="C9" s="5" t="s">
        <v>1007</v>
      </c>
      <c r="D9" s="5" t="s">
        <v>1008</v>
      </c>
      <c r="E9" s="5" t="s">
        <v>1022</v>
      </c>
      <c r="F9" s="5" t="s">
        <v>1023</v>
      </c>
      <c r="G9" s="6" t="s">
        <v>6</v>
      </c>
      <c r="H9" s="18">
        <v>1</v>
      </c>
    </row>
    <row r="10" spans="1:8" x14ac:dyDescent="0.25">
      <c r="A10" s="6">
        <v>7</v>
      </c>
      <c r="B10" s="5" t="s">
        <v>1024</v>
      </c>
      <c r="C10" s="5" t="s">
        <v>1025</v>
      </c>
      <c r="D10" s="5" t="s">
        <v>1026</v>
      </c>
      <c r="E10" s="5" t="s">
        <v>1027</v>
      </c>
      <c r="F10" s="5" t="s">
        <v>79</v>
      </c>
      <c r="G10" s="6" t="s">
        <v>6</v>
      </c>
      <c r="H10" s="18">
        <v>358</v>
      </c>
    </row>
    <row r="11" spans="1:8" x14ac:dyDescent="0.25">
      <c r="A11" s="6">
        <v>8</v>
      </c>
      <c r="B11" s="5" t="s">
        <v>1028</v>
      </c>
      <c r="C11" s="5" t="s">
        <v>1025</v>
      </c>
      <c r="D11" s="5" t="s">
        <v>1026</v>
      </c>
      <c r="E11" s="5" t="s">
        <v>1029</v>
      </c>
      <c r="F11" s="5" t="s">
        <v>79</v>
      </c>
      <c r="G11" s="6" t="s">
        <v>6</v>
      </c>
      <c r="H11" s="18">
        <v>101</v>
      </c>
    </row>
    <row r="12" spans="1:8" x14ac:dyDescent="0.25">
      <c r="A12" s="6">
        <v>9</v>
      </c>
      <c r="B12" s="5" t="s">
        <v>1030</v>
      </c>
      <c r="C12" s="5" t="s">
        <v>1025</v>
      </c>
      <c r="D12" s="5" t="s">
        <v>1026</v>
      </c>
      <c r="E12" s="5" t="s">
        <v>1031</v>
      </c>
      <c r="F12" s="5" t="s">
        <v>1032</v>
      </c>
      <c r="G12" s="6" t="s">
        <v>6</v>
      </c>
      <c r="H12" s="18">
        <v>454</v>
      </c>
    </row>
    <row r="13" spans="1:8" x14ac:dyDescent="0.25">
      <c r="A13" s="6">
        <v>10</v>
      </c>
      <c r="B13" s="5" t="s">
        <v>1033</v>
      </c>
      <c r="C13" s="5" t="s">
        <v>1025</v>
      </c>
      <c r="D13" s="5" t="s">
        <v>1026</v>
      </c>
      <c r="E13" s="5" t="s">
        <v>1034</v>
      </c>
      <c r="F13" s="5" t="s">
        <v>1035</v>
      </c>
      <c r="G13" s="6" t="s">
        <v>6</v>
      </c>
      <c r="H13" s="18">
        <v>147</v>
      </c>
    </row>
    <row r="14" spans="1:8" x14ac:dyDescent="0.25">
      <c r="A14" s="6">
        <v>11</v>
      </c>
      <c r="B14" s="5" t="s">
        <v>1033</v>
      </c>
      <c r="C14" s="5" t="s">
        <v>1025</v>
      </c>
      <c r="D14" s="5" t="s">
        <v>1026</v>
      </c>
      <c r="E14" s="5" t="s">
        <v>1036</v>
      </c>
      <c r="F14" s="5" t="s">
        <v>1037</v>
      </c>
      <c r="G14" s="6" t="s">
        <v>6</v>
      </c>
      <c r="H14" s="18">
        <v>76</v>
      </c>
    </row>
    <row r="15" spans="1:8" x14ac:dyDescent="0.25">
      <c r="A15" s="6">
        <v>12</v>
      </c>
      <c r="B15" s="5" t="s">
        <v>1033</v>
      </c>
      <c r="C15" s="5" t="s">
        <v>1025</v>
      </c>
      <c r="D15" s="5" t="s">
        <v>1026</v>
      </c>
      <c r="E15" s="5" t="s">
        <v>1038</v>
      </c>
      <c r="F15" s="5" t="s">
        <v>1039</v>
      </c>
      <c r="G15" s="6" t="s">
        <v>6</v>
      </c>
      <c r="H15" s="18">
        <v>55</v>
      </c>
    </row>
    <row r="16" spans="1:8" x14ac:dyDescent="0.25">
      <c r="A16" s="6">
        <v>13</v>
      </c>
      <c r="B16" s="5" t="s">
        <v>1033</v>
      </c>
      <c r="C16" s="5" t="s">
        <v>1025</v>
      </c>
      <c r="D16" s="5" t="s">
        <v>1026</v>
      </c>
      <c r="E16" s="5" t="s">
        <v>1040</v>
      </c>
      <c r="F16" s="5" t="s">
        <v>1041</v>
      </c>
      <c r="G16" s="6" t="s">
        <v>6</v>
      </c>
      <c r="H16" s="18">
        <v>65</v>
      </c>
    </row>
    <row r="17" spans="1:8" x14ac:dyDescent="0.25">
      <c r="A17" s="6">
        <v>14</v>
      </c>
      <c r="B17" s="5" t="s">
        <v>1042</v>
      </c>
      <c r="C17" s="5" t="s">
        <v>1025</v>
      </c>
      <c r="D17" s="5" t="s">
        <v>1026</v>
      </c>
      <c r="E17" s="5" t="s">
        <v>1043</v>
      </c>
      <c r="F17" s="5" t="s">
        <v>1044</v>
      </c>
      <c r="G17" s="6" t="s">
        <v>6</v>
      </c>
      <c r="H17" s="18">
        <v>17</v>
      </c>
    </row>
    <row r="18" spans="1:8" x14ac:dyDescent="0.25">
      <c r="A18" s="6">
        <v>15</v>
      </c>
      <c r="B18" s="5" t="s">
        <v>1045</v>
      </c>
      <c r="C18" s="5" t="s">
        <v>1025</v>
      </c>
      <c r="D18" s="5" t="s">
        <v>1046</v>
      </c>
      <c r="E18" s="5" t="s">
        <v>1047</v>
      </c>
      <c r="F18" s="5" t="s">
        <v>79</v>
      </c>
      <c r="G18" s="6" t="s">
        <v>6</v>
      </c>
      <c r="H18" s="18">
        <v>79</v>
      </c>
    </row>
    <row r="19" spans="1:8" x14ac:dyDescent="0.25">
      <c r="A19" s="6">
        <v>16</v>
      </c>
      <c r="B19" s="5" t="s">
        <v>1048</v>
      </c>
      <c r="C19" s="5" t="s">
        <v>1025</v>
      </c>
      <c r="D19" s="5" t="s">
        <v>1046</v>
      </c>
      <c r="E19" s="5" t="s">
        <v>1049</v>
      </c>
      <c r="F19" s="5" t="s">
        <v>1050</v>
      </c>
      <c r="G19" s="6" t="s">
        <v>6</v>
      </c>
      <c r="H19" s="18">
        <v>63</v>
      </c>
    </row>
    <row r="20" spans="1:8" x14ac:dyDescent="0.25">
      <c r="A20" s="6">
        <v>17</v>
      </c>
      <c r="B20" s="5" t="s">
        <v>1051</v>
      </c>
      <c r="C20" s="5" t="s">
        <v>1025</v>
      </c>
      <c r="D20" s="5" t="s">
        <v>1046</v>
      </c>
      <c r="E20" s="5" t="s">
        <v>1052</v>
      </c>
      <c r="F20" s="5" t="s">
        <v>1053</v>
      </c>
      <c r="G20" s="6" t="s">
        <v>6</v>
      </c>
      <c r="H20" s="18">
        <v>70</v>
      </c>
    </row>
    <row r="21" spans="1:8" x14ac:dyDescent="0.25">
      <c r="A21" s="6">
        <v>18</v>
      </c>
      <c r="B21" s="5" t="s">
        <v>1051</v>
      </c>
      <c r="C21" s="5" t="s">
        <v>1025</v>
      </c>
      <c r="D21" s="5" t="s">
        <v>1046</v>
      </c>
      <c r="E21" s="5" t="s">
        <v>1054</v>
      </c>
      <c r="F21" s="5" t="s">
        <v>1053</v>
      </c>
      <c r="G21" s="6" t="s">
        <v>6</v>
      </c>
      <c r="H21" s="18">
        <v>71</v>
      </c>
    </row>
    <row r="22" spans="1:8" x14ac:dyDescent="0.25">
      <c r="A22" s="6">
        <v>19</v>
      </c>
      <c r="B22" s="5" t="s">
        <v>1051</v>
      </c>
      <c r="C22" s="5" t="s">
        <v>1025</v>
      </c>
      <c r="D22" s="5" t="s">
        <v>1046</v>
      </c>
      <c r="E22" s="5" t="s">
        <v>1055</v>
      </c>
      <c r="F22" s="5" t="s">
        <v>1053</v>
      </c>
      <c r="G22" s="6" t="s">
        <v>6</v>
      </c>
      <c r="H22" s="18">
        <v>73</v>
      </c>
    </row>
    <row r="23" spans="1:8" x14ac:dyDescent="0.25">
      <c r="A23" s="6">
        <v>20</v>
      </c>
      <c r="B23" s="5" t="s">
        <v>1051</v>
      </c>
      <c r="C23" s="5" t="s">
        <v>1025</v>
      </c>
      <c r="D23" s="5" t="s">
        <v>1046</v>
      </c>
      <c r="E23" s="5" t="s">
        <v>1056</v>
      </c>
      <c r="F23" s="5" t="s">
        <v>1053</v>
      </c>
      <c r="G23" s="6" t="s">
        <v>6</v>
      </c>
      <c r="H23" s="18">
        <v>56</v>
      </c>
    </row>
    <row r="24" spans="1:8" x14ac:dyDescent="0.25">
      <c r="A24" s="6">
        <v>21</v>
      </c>
      <c r="B24" s="5" t="s">
        <v>1057</v>
      </c>
      <c r="C24" s="5" t="s">
        <v>1025</v>
      </c>
      <c r="D24" s="5" t="s">
        <v>1046</v>
      </c>
      <c r="E24" s="5" t="s">
        <v>1058</v>
      </c>
      <c r="F24" s="5" t="s">
        <v>79</v>
      </c>
      <c r="G24" s="6" t="s">
        <v>6</v>
      </c>
      <c r="H24" s="18">
        <v>250</v>
      </c>
    </row>
    <row r="25" spans="1:8" x14ac:dyDescent="0.25">
      <c r="A25" s="6">
        <v>22</v>
      </c>
      <c r="B25" s="5" t="s">
        <v>1059</v>
      </c>
      <c r="C25" s="5" t="s">
        <v>1025</v>
      </c>
      <c r="D25" s="5" t="s">
        <v>1046</v>
      </c>
      <c r="E25" s="5" t="s">
        <v>1060</v>
      </c>
      <c r="F25" s="5" t="s">
        <v>79</v>
      </c>
      <c r="G25" s="6" t="s">
        <v>6</v>
      </c>
      <c r="H25" s="18">
        <v>239</v>
      </c>
    </row>
    <row r="26" spans="1:8" x14ac:dyDescent="0.25">
      <c r="A26" s="6">
        <v>23</v>
      </c>
      <c r="B26" s="5" t="s">
        <v>1061</v>
      </c>
      <c r="C26" s="5" t="s">
        <v>1025</v>
      </c>
      <c r="D26" s="5" t="s">
        <v>1046</v>
      </c>
      <c r="E26" s="5" t="s">
        <v>1062</v>
      </c>
      <c r="F26" s="5" t="s">
        <v>1063</v>
      </c>
      <c r="G26" s="6" t="s">
        <v>6</v>
      </c>
      <c r="H26" s="18">
        <v>69</v>
      </c>
    </row>
    <row r="27" spans="1:8" x14ac:dyDescent="0.25">
      <c r="A27" s="6">
        <v>24</v>
      </c>
      <c r="B27" s="5" t="s">
        <v>1064</v>
      </c>
      <c r="C27" s="5" t="s">
        <v>1025</v>
      </c>
      <c r="D27" s="5" t="s">
        <v>1046</v>
      </c>
      <c r="E27" s="5" t="s">
        <v>1065</v>
      </c>
      <c r="F27" s="5" t="s">
        <v>1066</v>
      </c>
      <c r="G27" s="6" t="s">
        <v>6</v>
      </c>
      <c r="H27" s="18">
        <v>8</v>
      </c>
    </row>
    <row r="28" spans="1:8" x14ac:dyDescent="0.25">
      <c r="A28" s="6">
        <v>25</v>
      </c>
      <c r="B28" s="5" t="s">
        <v>1067</v>
      </c>
      <c r="C28" s="5" t="s">
        <v>1068</v>
      </c>
      <c r="D28" s="5" t="s">
        <v>1069</v>
      </c>
      <c r="E28" s="5" t="s">
        <v>1070</v>
      </c>
      <c r="F28" s="5" t="s">
        <v>79</v>
      </c>
      <c r="G28" s="6" t="s">
        <v>6</v>
      </c>
      <c r="H28" s="18">
        <v>293</v>
      </c>
    </row>
    <row r="29" spans="1:8" x14ac:dyDescent="0.25">
      <c r="A29" s="6">
        <v>26</v>
      </c>
      <c r="B29" s="5" t="s">
        <v>1071</v>
      </c>
      <c r="C29" s="5" t="s">
        <v>1068</v>
      </c>
      <c r="D29" s="5" t="s">
        <v>1069</v>
      </c>
      <c r="E29" s="5" t="s">
        <v>1072</v>
      </c>
      <c r="F29" s="5" t="s">
        <v>1073</v>
      </c>
      <c r="G29" s="6" t="s">
        <v>6</v>
      </c>
      <c r="H29" s="18">
        <v>73</v>
      </c>
    </row>
    <row r="30" spans="1:8" x14ac:dyDescent="0.25">
      <c r="A30" s="6">
        <v>27</v>
      </c>
      <c r="B30" s="5" t="s">
        <v>1074</v>
      </c>
      <c r="C30" s="5" t="s">
        <v>1068</v>
      </c>
      <c r="D30" s="5" t="s">
        <v>1069</v>
      </c>
      <c r="E30" s="5" t="s">
        <v>1075</v>
      </c>
      <c r="F30" s="5" t="s">
        <v>1076</v>
      </c>
      <c r="G30" s="6" t="s">
        <v>6</v>
      </c>
      <c r="H30" s="18">
        <v>44</v>
      </c>
    </row>
    <row r="31" spans="1:8" x14ac:dyDescent="0.25">
      <c r="A31" s="6">
        <v>28</v>
      </c>
      <c r="B31" s="5" t="s">
        <v>1077</v>
      </c>
      <c r="C31" s="5" t="s">
        <v>1068</v>
      </c>
      <c r="D31" s="5" t="s">
        <v>1069</v>
      </c>
      <c r="E31" s="5" t="s">
        <v>1078</v>
      </c>
      <c r="F31" s="5" t="s">
        <v>1079</v>
      </c>
      <c r="G31" s="6" t="s">
        <v>6</v>
      </c>
      <c r="H31" s="18">
        <v>37</v>
      </c>
    </row>
    <row r="32" spans="1:8" x14ac:dyDescent="0.25">
      <c r="A32" s="6">
        <v>29</v>
      </c>
      <c r="B32" s="5" t="s">
        <v>1080</v>
      </c>
      <c r="C32" s="5" t="s">
        <v>1068</v>
      </c>
      <c r="D32" s="5" t="s">
        <v>1069</v>
      </c>
      <c r="E32" s="5" t="s">
        <v>1081</v>
      </c>
      <c r="F32" s="5" t="s">
        <v>79</v>
      </c>
      <c r="G32" s="6" t="s">
        <v>6</v>
      </c>
      <c r="H32" s="18">
        <v>62</v>
      </c>
    </row>
    <row r="33" spans="1:8" x14ac:dyDescent="0.25">
      <c r="A33" s="6">
        <v>30</v>
      </c>
      <c r="B33" s="5" t="s">
        <v>1082</v>
      </c>
      <c r="C33" s="5" t="s">
        <v>1068</v>
      </c>
      <c r="D33" s="5" t="s">
        <v>1069</v>
      </c>
      <c r="E33" s="5" t="s">
        <v>432</v>
      </c>
      <c r="F33" s="5" t="s">
        <v>1083</v>
      </c>
      <c r="G33" s="6" t="s">
        <v>6</v>
      </c>
      <c r="H33" s="18">
        <v>68</v>
      </c>
    </row>
    <row r="34" spans="1:8" x14ac:dyDescent="0.25">
      <c r="A34" s="6">
        <v>31</v>
      </c>
      <c r="B34" s="5" t="s">
        <v>1084</v>
      </c>
      <c r="C34" s="5" t="s">
        <v>1068</v>
      </c>
      <c r="D34" s="5" t="s">
        <v>1069</v>
      </c>
      <c r="E34" s="5" t="s">
        <v>1085</v>
      </c>
      <c r="F34" s="5" t="s">
        <v>1086</v>
      </c>
      <c r="G34" s="6" t="s">
        <v>6</v>
      </c>
      <c r="H34" s="18">
        <v>71</v>
      </c>
    </row>
    <row r="35" spans="1:8" x14ac:dyDescent="0.25">
      <c r="A35" s="6">
        <v>32</v>
      </c>
      <c r="B35" s="5" t="s">
        <v>1087</v>
      </c>
      <c r="C35" s="5" t="s">
        <v>1068</v>
      </c>
      <c r="D35" s="5" t="s">
        <v>1069</v>
      </c>
      <c r="E35" s="5" t="s">
        <v>1088</v>
      </c>
      <c r="F35" s="5" t="s">
        <v>1089</v>
      </c>
      <c r="G35" s="6" t="s">
        <v>6</v>
      </c>
      <c r="H35" s="18">
        <v>54</v>
      </c>
    </row>
    <row r="36" spans="1:8" x14ac:dyDescent="0.25">
      <c r="A36" s="6">
        <v>33</v>
      </c>
      <c r="B36" s="5" t="s">
        <v>1090</v>
      </c>
      <c r="C36" s="5" t="s">
        <v>1068</v>
      </c>
      <c r="D36" s="5" t="s">
        <v>1069</v>
      </c>
      <c r="E36" s="5" t="s">
        <v>1091</v>
      </c>
      <c r="F36" s="5" t="s">
        <v>1092</v>
      </c>
      <c r="G36" s="6" t="s">
        <v>6</v>
      </c>
      <c r="H36" s="18">
        <v>42</v>
      </c>
    </row>
    <row r="37" spans="1:8" x14ac:dyDescent="0.25">
      <c r="A37" s="6">
        <v>34</v>
      </c>
      <c r="B37" s="5" t="s">
        <v>1093</v>
      </c>
      <c r="C37" s="5" t="s">
        <v>1068</v>
      </c>
      <c r="D37" s="5" t="s">
        <v>1069</v>
      </c>
      <c r="E37" s="5" t="s">
        <v>1094</v>
      </c>
      <c r="F37" s="5" t="s">
        <v>1095</v>
      </c>
      <c r="G37" s="6" t="s">
        <v>6</v>
      </c>
      <c r="H37" s="18">
        <v>37</v>
      </c>
    </row>
    <row r="38" spans="1:8" x14ac:dyDescent="0.25">
      <c r="A38" s="6">
        <v>35</v>
      </c>
      <c r="B38" s="5" t="s">
        <v>1096</v>
      </c>
      <c r="C38" s="5" t="s">
        <v>1068</v>
      </c>
      <c r="D38" s="5" t="s">
        <v>1069</v>
      </c>
      <c r="E38" s="5" t="s">
        <v>1097</v>
      </c>
      <c r="F38" s="5" t="s">
        <v>1098</v>
      </c>
      <c r="G38" s="6" t="s">
        <v>6</v>
      </c>
      <c r="H38" s="18">
        <v>19</v>
      </c>
    </row>
    <row r="39" spans="1:8" x14ac:dyDescent="0.25">
      <c r="A39" s="6">
        <v>36</v>
      </c>
      <c r="B39" s="5" t="s">
        <v>1099</v>
      </c>
      <c r="C39" s="5" t="s">
        <v>1068</v>
      </c>
      <c r="D39" s="5" t="s">
        <v>1069</v>
      </c>
      <c r="E39" s="5" t="s">
        <v>1100</v>
      </c>
      <c r="F39" s="5" t="s">
        <v>1101</v>
      </c>
      <c r="G39" s="6" t="s">
        <v>6</v>
      </c>
      <c r="H39" s="18">
        <v>9</v>
      </c>
    </row>
    <row r="40" spans="1:8" x14ac:dyDescent="0.25">
      <c r="A40" s="6">
        <v>37</v>
      </c>
      <c r="B40" s="5" t="s">
        <v>1102</v>
      </c>
      <c r="C40" s="5" t="s">
        <v>1068</v>
      </c>
      <c r="D40" s="5" t="s">
        <v>1069</v>
      </c>
      <c r="E40" s="5" t="s">
        <v>1103</v>
      </c>
      <c r="F40" s="5" t="s">
        <v>1104</v>
      </c>
      <c r="G40" s="6" t="s">
        <v>6</v>
      </c>
      <c r="H40" s="18">
        <v>24</v>
      </c>
    </row>
    <row r="41" spans="1:8" x14ac:dyDescent="0.25">
      <c r="A41" s="6">
        <v>38</v>
      </c>
      <c r="B41" s="5" t="s">
        <v>1105</v>
      </c>
      <c r="C41" s="5" t="s">
        <v>1068</v>
      </c>
      <c r="D41" s="5" t="s">
        <v>1069</v>
      </c>
      <c r="E41" s="5" t="s">
        <v>1106</v>
      </c>
      <c r="F41" s="5" t="s">
        <v>1107</v>
      </c>
      <c r="G41" s="6" t="s">
        <v>6</v>
      </c>
      <c r="H41" s="18">
        <v>21</v>
      </c>
    </row>
    <row r="42" spans="1:8" x14ac:dyDescent="0.25">
      <c r="A42" s="6">
        <v>39</v>
      </c>
      <c r="B42" s="5" t="s">
        <v>1108</v>
      </c>
      <c r="C42" s="5" t="s">
        <v>1068</v>
      </c>
      <c r="D42" s="5" t="s">
        <v>1109</v>
      </c>
      <c r="E42" s="5" t="s">
        <v>1110</v>
      </c>
      <c r="F42" s="5" t="s">
        <v>1111</v>
      </c>
      <c r="G42" s="6" t="s">
        <v>6</v>
      </c>
      <c r="H42" s="18">
        <v>549</v>
      </c>
    </row>
    <row r="43" spans="1:8" x14ac:dyDescent="0.25">
      <c r="A43" s="6">
        <v>40</v>
      </c>
      <c r="B43" s="5" t="s">
        <v>1112</v>
      </c>
      <c r="C43" s="5" t="s">
        <v>1068</v>
      </c>
      <c r="D43" s="5" t="s">
        <v>1109</v>
      </c>
      <c r="E43" s="5" t="s">
        <v>1113</v>
      </c>
      <c r="F43" s="5" t="s">
        <v>1114</v>
      </c>
      <c r="G43" s="6" t="s">
        <v>6</v>
      </c>
      <c r="H43" s="18">
        <v>521</v>
      </c>
    </row>
    <row r="44" spans="1:8" x14ac:dyDescent="0.25">
      <c r="A44" s="6">
        <v>41</v>
      </c>
      <c r="B44" s="5" t="s">
        <v>1115</v>
      </c>
      <c r="C44" s="5" t="s">
        <v>1068</v>
      </c>
      <c r="D44" s="5" t="s">
        <v>1109</v>
      </c>
      <c r="E44" s="5" t="s">
        <v>1116</v>
      </c>
      <c r="F44" s="5" t="s">
        <v>1117</v>
      </c>
      <c r="G44" s="6" t="s">
        <v>6</v>
      </c>
      <c r="H44" s="18">
        <v>59</v>
      </c>
    </row>
    <row r="45" spans="1:8" x14ac:dyDescent="0.25">
      <c r="A45" s="6">
        <v>42</v>
      </c>
      <c r="B45" s="5" t="s">
        <v>1118</v>
      </c>
      <c r="C45" s="5" t="s">
        <v>1068</v>
      </c>
      <c r="D45" s="5" t="s">
        <v>1109</v>
      </c>
      <c r="E45" s="5" t="s">
        <v>1119</v>
      </c>
      <c r="F45" s="5" t="s">
        <v>1120</v>
      </c>
      <c r="G45" s="6" t="s">
        <v>6</v>
      </c>
      <c r="H45" s="18">
        <v>14</v>
      </c>
    </row>
    <row r="46" spans="1:8" x14ac:dyDescent="0.25">
      <c r="A46" s="6">
        <v>43</v>
      </c>
      <c r="B46" s="5" t="s">
        <v>1121</v>
      </c>
      <c r="C46" s="5" t="s">
        <v>1068</v>
      </c>
      <c r="D46" s="5" t="s">
        <v>1122</v>
      </c>
      <c r="E46" s="5" t="s">
        <v>1123</v>
      </c>
      <c r="F46" s="5" t="s">
        <v>1124</v>
      </c>
      <c r="G46" s="6" t="s">
        <v>6</v>
      </c>
      <c r="H46" s="18">
        <v>466</v>
      </c>
    </row>
    <row r="47" spans="1:8" x14ac:dyDescent="0.25">
      <c r="A47" s="6">
        <v>44</v>
      </c>
      <c r="B47" s="5" t="s">
        <v>1125</v>
      </c>
      <c r="C47" s="5" t="s">
        <v>1068</v>
      </c>
      <c r="D47" s="5" t="s">
        <v>1122</v>
      </c>
      <c r="E47" s="5" t="s">
        <v>176</v>
      </c>
      <c r="F47" s="5" t="s">
        <v>1044</v>
      </c>
      <c r="G47" s="6" t="s">
        <v>6</v>
      </c>
      <c r="H47" s="18">
        <v>539</v>
      </c>
    </row>
    <row r="48" spans="1:8" x14ac:dyDescent="0.25">
      <c r="A48" s="6">
        <v>45</v>
      </c>
      <c r="B48" s="5" t="s">
        <v>1126</v>
      </c>
      <c r="C48" s="5" t="s">
        <v>1068</v>
      </c>
      <c r="D48" s="5" t="s">
        <v>1122</v>
      </c>
      <c r="E48" s="5" t="s">
        <v>1127</v>
      </c>
      <c r="F48" s="5" t="s">
        <v>1120</v>
      </c>
      <c r="G48" s="6" t="s">
        <v>6</v>
      </c>
      <c r="H48" s="18">
        <v>14</v>
      </c>
    </row>
    <row r="49" spans="1:8" x14ac:dyDescent="0.25">
      <c r="A49" s="6">
        <v>46</v>
      </c>
      <c r="B49" s="5" t="s">
        <v>1128</v>
      </c>
      <c r="C49" s="5" t="s">
        <v>1068</v>
      </c>
      <c r="D49" s="5" t="s">
        <v>1122</v>
      </c>
      <c r="E49" s="5" t="s">
        <v>1129</v>
      </c>
      <c r="F49" s="5" t="s">
        <v>79</v>
      </c>
      <c r="G49" s="6" t="s">
        <v>6</v>
      </c>
      <c r="H49" s="18">
        <v>14</v>
      </c>
    </row>
    <row r="50" spans="1:8" x14ac:dyDescent="0.25">
      <c r="A50" s="6">
        <v>47</v>
      </c>
      <c r="B50" s="5" t="s">
        <v>1130</v>
      </c>
      <c r="C50" s="5" t="s">
        <v>1068</v>
      </c>
      <c r="D50" s="5" t="s">
        <v>1122</v>
      </c>
      <c r="E50" s="5" t="s">
        <v>1131</v>
      </c>
      <c r="F50" s="5" t="s">
        <v>1132</v>
      </c>
      <c r="G50" s="6" t="s">
        <v>6</v>
      </c>
      <c r="H50" s="18">
        <v>17</v>
      </c>
    </row>
    <row r="51" spans="1:8" x14ac:dyDescent="0.25">
      <c r="A51" s="6">
        <v>48</v>
      </c>
      <c r="B51" s="5" t="s">
        <v>1133</v>
      </c>
      <c r="C51" s="5" t="s">
        <v>1068</v>
      </c>
      <c r="D51" s="5" t="s">
        <v>1122</v>
      </c>
      <c r="E51" s="5" t="s">
        <v>1134</v>
      </c>
      <c r="F51" s="5" t="s">
        <v>1135</v>
      </c>
      <c r="G51" s="6" t="s">
        <v>6</v>
      </c>
      <c r="H51" s="18">
        <v>525</v>
      </c>
    </row>
    <row r="52" spans="1:8" x14ac:dyDescent="0.25">
      <c r="A52" s="6">
        <v>49</v>
      </c>
      <c r="B52" s="5" t="s">
        <v>1136</v>
      </c>
      <c r="C52" s="5" t="s">
        <v>1068</v>
      </c>
      <c r="D52" s="5" t="s">
        <v>1137</v>
      </c>
      <c r="E52" s="5" t="s">
        <v>1138</v>
      </c>
      <c r="F52" s="5" t="s">
        <v>79</v>
      </c>
      <c r="G52" s="6" t="s">
        <v>6</v>
      </c>
      <c r="H52" s="18">
        <v>14</v>
      </c>
    </row>
    <row r="53" spans="1:8" x14ac:dyDescent="0.25">
      <c r="A53" s="6">
        <v>50</v>
      </c>
      <c r="B53" s="5" t="s">
        <v>1139</v>
      </c>
      <c r="C53" s="5" t="s">
        <v>1140</v>
      </c>
      <c r="D53" s="5" t="s">
        <v>1141</v>
      </c>
      <c r="E53" s="5" t="s">
        <v>1142</v>
      </c>
      <c r="F53" s="5" t="s">
        <v>79</v>
      </c>
      <c r="G53" s="6" t="s">
        <v>6</v>
      </c>
      <c r="H53" s="18">
        <v>392</v>
      </c>
    </row>
    <row r="54" spans="1:8" x14ac:dyDescent="0.25">
      <c r="A54" s="6">
        <v>51</v>
      </c>
      <c r="B54" s="5" t="s">
        <v>1143</v>
      </c>
      <c r="C54" s="5" t="s">
        <v>1140</v>
      </c>
      <c r="D54" s="5" t="s">
        <v>1141</v>
      </c>
      <c r="E54" s="5" t="s">
        <v>1144</v>
      </c>
      <c r="F54" s="5" t="s">
        <v>1145</v>
      </c>
      <c r="G54" s="6" t="s">
        <v>6</v>
      </c>
      <c r="H54" s="18">
        <v>99</v>
      </c>
    </row>
    <row r="55" spans="1:8" x14ac:dyDescent="0.25">
      <c r="A55" s="6">
        <v>52</v>
      </c>
      <c r="B55" s="5" t="s">
        <v>1143</v>
      </c>
      <c r="C55" s="5" t="s">
        <v>1140</v>
      </c>
      <c r="D55" s="5" t="s">
        <v>1141</v>
      </c>
      <c r="E55" s="5" t="s">
        <v>1146</v>
      </c>
      <c r="F55" s="5" t="s">
        <v>1147</v>
      </c>
      <c r="G55" s="6" t="s">
        <v>6</v>
      </c>
      <c r="H55" s="18">
        <v>70</v>
      </c>
    </row>
    <row r="56" spans="1:8" x14ac:dyDescent="0.25">
      <c r="A56" s="6">
        <v>53</v>
      </c>
      <c r="B56" s="5" t="s">
        <v>1143</v>
      </c>
      <c r="C56" s="5" t="s">
        <v>1140</v>
      </c>
      <c r="D56" s="5" t="s">
        <v>1141</v>
      </c>
      <c r="E56" s="5" t="s">
        <v>1148</v>
      </c>
      <c r="F56" s="5" t="s">
        <v>1149</v>
      </c>
      <c r="G56" s="6" t="s">
        <v>6</v>
      </c>
      <c r="H56" s="18">
        <v>51</v>
      </c>
    </row>
    <row r="57" spans="1:8" x14ac:dyDescent="0.25">
      <c r="A57" s="6">
        <v>54</v>
      </c>
      <c r="B57" s="5" t="s">
        <v>1150</v>
      </c>
      <c r="C57" s="5" t="s">
        <v>1140</v>
      </c>
      <c r="D57" s="5" t="s">
        <v>1141</v>
      </c>
      <c r="E57" s="5" t="s">
        <v>1151</v>
      </c>
      <c r="F57" s="5" t="s">
        <v>1152</v>
      </c>
      <c r="G57" s="6" t="s">
        <v>6</v>
      </c>
      <c r="H57" s="18">
        <v>33</v>
      </c>
    </row>
    <row r="58" spans="1:8" x14ac:dyDescent="0.25">
      <c r="A58" s="6">
        <v>55</v>
      </c>
      <c r="B58" s="5" t="s">
        <v>1153</v>
      </c>
      <c r="C58" s="5" t="s">
        <v>1140</v>
      </c>
      <c r="D58" s="5" t="s">
        <v>1141</v>
      </c>
      <c r="E58" s="5" t="s">
        <v>1154</v>
      </c>
      <c r="F58" s="5" t="s">
        <v>1155</v>
      </c>
      <c r="G58" s="6" t="s">
        <v>6</v>
      </c>
      <c r="H58" s="18">
        <v>26</v>
      </c>
    </row>
    <row r="59" spans="1:8" x14ac:dyDescent="0.25">
      <c r="A59" s="6">
        <v>56</v>
      </c>
      <c r="B59" s="5" t="s">
        <v>1156</v>
      </c>
      <c r="C59" s="5" t="s">
        <v>1140</v>
      </c>
      <c r="D59" s="5" t="s">
        <v>1141</v>
      </c>
      <c r="E59" s="5" t="s">
        <v>1157</v>
      </c>
      <c r="F59" s="5" t="s">
        <v>1158</v>
      </c>
      <c r="G59" s="6" t="s">
        <v>6</v>
      </c>
      <c r="H59" s="18">
        <v>33</v>
      </c>
    </row>
    <row r="60" spans="1:8" x14ac:dyDescent="0.25">
      <c r="A60" s="6">
        <v>57</v>
      </c>
      <c r="B60" s="5" t="s">
        <v>1159</v>
      </c>
      <c r="C60" s="5" t="s">
        <v>1140</v>
      </c>
      <c r="D60" s="5" t="s">
        <v>1160</v>
      </c>
      <c r="E60" s="5" t="s">
        <v>1161</v>
      </c>
      <c r="F60" s="5" t="s">
        <v>1162</v>
      </c>
      <c r="G60" s="6" t="s">
        <v>6</v>
      </c>
      <c r="H60" s="18">
        <v>17</v>
      </c>
    </row>
    <row r="61" spans="1:8" x14ac:dyDescent="0.25">
      <c r="A61" s="6">
        <v>58</v>
      </c>
      <c r="B61" s="5" t="s">
        <v>1163</v>
      </c>
      <c r="C61" s="5" t="s">
        <v>1140</v>
      </c>
      <c r="D61" s="5" t="s">
        <v>1160</v>
      </c>
      <c r="E61" s="5" t="s">
        <v>1164</v>
      </c>
      <c r="F61" s="5" t="s">
        <v>1165</v>
      </c>
      <c r="G61" s="6" t="s">
        <v>6</v>
      </c>
      <c r="H61" s="18">
        <v>7</v>
      </c>
    </row>
    <row r="62" spans="1:8" x14ac:dyDescent="0.25">
      <c r="A62" s="6">
        <v>59</v>
      </c>
      <c r="B62" s="5" t="s">
        <v>1166</v>
      </c>
      <c r="C62" s="5" t="s">
        <v>1140</v>
      </c>
      <c r="D62" s="5" t="s">
        <v>1160</v>
      </c>
      <c r="E62" s="5" t="s">
        <v>1167</v>
      </c>
      <c r="F62" s="5" t="s">
        <v>1168</v>
      </c>
      <c r="G62" s="6" t="s">
        <v>6</v>
      </c>
      <c r="H62" s="18">
        <v>7</v>
      </c>
    </row>
    <row r="63" spans="1:8" x14ac:dyDescent="0.25">
      <c r="A63" s="6">
        <v>60</v>
      </c>
      <c r="B63" s="5" t="s">
        <v>1169</v>
      </c>
      <c r="C63" s="5" t="s">
        <v>1140</v>
      </c>
      <c r="D63" s="5" t="s">
        <v>1170</v>
      </c>
      <c r="E63" s="5" t="s">
        <v>1171</v>
      </c>
      <c r="F63" s="5" t="s">
        <v>79</v>
      </c>
      <c r="G63" s="6" t="s">
        <v>6</v>
      </c>
      <c r="H63" s="18">
        <v>89</v>
      </c>
    </row>
    <row r="64" spans="1:8" x14ac:dyDescent="0.25">
      <c r="A64" s="6">
        <v>61</v>
      </c>
      <c r="B64" s="5" t="s">
        <v>1172</v>
      </c>
      <c r="C64" s="5" t="s">
        <v>1140</v>
      </c>
      <c r="D64" s="5" t="s">
        <v>1170</v>
      </c>
      <c r="E64" s="5" t="s">
        <v>1173</v>
      </c>
      <c r="F64" s="5" t="s">
        <v>79</v>
      </c>
      <c r="G64" s="6" t="s">
        <v>6</v>
      </c>
      <c r="H64" s="18">
        <v>57</v>
      </c>
    </row>
    <row r="65" spans="1:8" x14ac:dyDescent="0.25">
      <c r="A65" s="6">
        <v>62</v>
      </c>
      <c r="B65" s="5" t="s">
        <v>1174</v>
      </c>
      <c r="C65" s="5" t="s">
        <v>1140</v>
      </c>
      <c r="D65" s="5" t="s">
        <v>1170</v>
      </c>
      <c r="E65" s="5" t="s">
        <v>1175</v>
      </c>
      <c r="F65" s="5" t="s">
        <v>79</v>
      </c>
      <c r="G65" s="6" t="s">
        <v>6</v>
      </c>
      <c r="H65" s="18">
        <v>22</v>
      </c>
    </row>
    <row r="66" spans="1:8" x14ac:dyDescent="0.25">
      <c r="A66" s="6">
        <v>63</v>
      </c>
      <c r="B66" s="5" t="s">
        <v>1176</v>
      </c>
      <c r="C66" s="5" t="s">
        <v>1140</v>
      </c>
      <c r="D66" s="5" t="s">
        <v>1170</v>
      </c>
      <c r="E66" s="5" t="s">
        <v>1177</v>
      </c>
      <c r="F66" s="5" t="s">
        <v>1178</v>
      </c>
      <c r="G66" s="6" t="s">
        <v>6</v>
      </c>
      <c r="H66" s="18">
        <v>19</v>
      </c>
    </row>
    <row r="67" spans="1:8" x14ac:dyDescent="0.25">
      <c r="A67" s="6">
        <v>64</v>
      </c>
      <c r="B67" s="5" t="s">
        <v>1179</v>
      </c>
      <c r="C67" s="5" t="s">
        <v>1140</v>
      </c>
      <c r="D67" s="5" t="s">
        <v>1180</v>
      </c>
      <c r="E67" s="5" t="s">
        <v>1181</v>
      </c>
      <c r="F67" s="5" t="s">
        <v>1182</v>
      </c>
      <c r="G67" s="6" t="s">
        <v>6</v>
      </c>
      <c r="H67" s="18">
        <v>1</v>
      </c>
    </row>
    <row r="68" spans="1:8" x14ac:dyDescent="0.25">
      <c r="A68" s="6">
        <v>65</v>
      </c>
      <c r="B68" s="5" t="s">
        <v>1179</v>
      </c>
      <c r="C68" s="5" t="s">
        <v>1140</v>
      </c>
      <c r="D68" s="5" t="s">
        <v>1180</v>
      </c>
      <c r="E68" s="5" t="s">
        <v>1183</v>
      </c>
      <c r="F68" s="5" t="s">
        <v>1184</v>
      </c>
      <c r="G68" s="6" t="s">
        <v>6</v>
      </c>
      <c r="H68" s="18">
        <v>0</v>
      </c>
    </row>
    <row r="69" spans="1:8" x14ac:dyDescent="0.25">
      <c r="A69" s="6">
        <v>66</v>
      </c>
      <c r="B69" s="5" t="s">
        <v>1179</v>
      </c>
      <c r="C69" s="5" t="s">
        <v>1140</v>
      </c>
      <c r="D69" s="5" t="s">
        <v>1180</v>
      </c>
      <c r="E69" s="5" t="s">
        <v>1185</v>
      </c>
      <c r="F69" s="5" t="s">
        <v>1186</v>
      </c>
      <c r="G69" s="6" t="s">
        <v>6</v>
      </c>
      <c r="H69" s="18">
        <v>0</v>
      </c>
    </row>
    <row r="70" spans="1:8" x14ac:dyDescent="0.25">
      <c r="A70" s="6">
        <v>67</v>
      </c>
      <c r="B70" s="5" t="s">
        <v>1179</v>
      </c>
      <c r="C70" s="5" t="s">
        <v>1140</v>
      </c>
      <c r="D70" s="5" t="s">
        <v>1180</v>
      </c>
      <c r="E70" s="5" t="s">
        <v>1187</v>
      </c>
      <c r="F70" s="5" t="s">
        <v>1188</v>
      </c>
      <c r="G70" s="6" t="s">
        <v>6</v>
      </c>
      <c r="H70" s="18">
        <v>0</v>
      </c>
    </row>
    <row r="71" spans="1:8" x14ac:dyDescent="0.25">
      <c r="A71" s="6">
        <v>68</v>
      </c>
      <c r="B71" s="5" t="s">
        <v>1189</v>
      </c>
      <c r="C71" s="5" t="s">
        <v>1140</v>
      </c>
      <c r="D71" s="5" t="s">
        <v>1190</v>
      </c>
      <c r="E71" s="5" t="s">
        <v>1191</v>
      </c>
      <c r="F71" s="5" t="s">
        <v>1192</v>
      </c>
      <c r="G71" s="6" t="s">
        <v>6</v>
      </c>
      <c r="H71" s="18">
        <v>1</v>
      </c>
    </row>
    <row r="72" spans="1:8" x14ac:dyDescent="0.25">
      <c r="A72" s="6">
        <v>69</v>
      </c>
      <c r="B72" s="5" t="s">
        <v>1189</v>
      </c>
      <c r="C72" s="5" t="s">
        <v>1140</v>
      </c>
      <c r="D72" s="5" t="s">
        <v>1190</v>
      </c>
      <c r="E72" s="5" t="s">
        <v>1193</v>
      </c>
      <c r="F72" s="5" t="s">
        <v>1194</v>
      </c>
      <c r="G72" s="6" t="s">
        <v>6</v>
      </c>
      <c r="H72" s="18">
        <v>0</v>
      </c>
    </row>
    <row r="73" spans="1:8" x14ac:dyDescent="0.25">
      <c r="A73" s="6">
        <v>70</v>
      </c>
      <c r="B73" s="5" t="s">
        <v>1189</v>
      </c>
      <c r="C73" s="5" t="s">
        <v>1140</v>
      </c>
      <c r="D73" s="5" t="s">
        <v>1190</v>
      </c>
      <c r="E73" s="5" t="s">
        <v>1195</v>
      </c>
      <c r="F73" s="5" t="s">
        <v>1196</v>
      </c>
      <c r="G73" s="6" t="s">
        <v>6</v>
      </c>
      <c r="H73" s="18">
        <v>0</v>
      </c>
    </row>
    <row r="74" spans="1:8" x14ac:dyDescent="0.25">
      <c r="A74" s="6">
        <v>71</v>
      </c>
      <c r="B74" s="5" t="s">
        <v>1189</v>
      </c>
      <c r="C74" s="5" t="s">
        <v>1140</v>
      </c>
      <c r="D74" s="5" t="s">
        <v>1190</v>
      </c>
      <c r="E74" s="5" t="s">
        <v>1197</v>
      </c>
      <c r="F74" s="5" t="s">
        <v>1198</v>
      </c>
      <c r="G74" s="6" t="s">
        <v>6</v>
      </c>
      <c r="H74" s="18">
        <v>0</v>
      </c>
    </row>
    <row r="75" spans="1:8" x14ac:dyDescent="0.25">
      <c r="A75" s="6">
        <v>72</v>
      </c>
      <c r="B75" s="5" t="s">
        <v>1189</v>
      </c>
      <c r="C75" s="5" t="s">
        <v>1140</v>
      </c>
      <c r="D75" s="5" t="s">
        <v>1190</v>
      </c>
      <c r="E75" s="5" t="s">
        <v>1199</v>
      </c>
      <c r="F75" s="5" t="s">
        <v>1200</v>
      </c>
      <c r="G75" s="6" t="s">
        <v>6</v>
      </c>
      <c r="H75" s="18">
        <v>0</v>
      </c>
    </row>
    <row r="76" spans="1:8" x14ac:dyDescent="0.25">
      <c r="A76" s="6">
        <v>73</v>
      </c>
      <c r="B76" s="5" t="s">
        <v>1189</v>
      </c>
      <c r="C76" s="5" t="s">
        <v>1140</v>
      </c>
      <c r="D76" s="5" t="s">
        <v>1190</v>
      </c>
      <c r="E76" s="5" t="s">
        <v>1201</v>
      </c>
      <c r="F76" s="5" t="s">
        <v>1192</v>
      </c>
      <c r="G76" s="6" t="s">
        <v>6</v>
      </c>
      <c r="H76" s="18">
        <v>0</v>
      </c>
    </row>
    <row r="77" spans="1:8" x14ac:dyDescent="0.25">
      <c r="A77" s="6">
        <v>74</v>
      </c>
      <c r="B77" s="5" t="s">
        <v>1202</v>
      </c>
      <c r="C77" s="5" t="s">
        <v>1140</v>
      </c>
      <c r="D77" s="5" t="s">
        <v>1190</v>
      </c>
      <c r="E77" s="5" t="s">
        <v>1203</v>
      </c>
      <c r="F77" s="5" t="s">
        <v>1204</v>
      </c>
      <c r="G77" s="6" t="s">
        <v>6</v>
      </c>
      <c r="H77" s="18">
        <v>0</v>
      </c>
    </row>
    <row r="78" spans="1:8" x14ac:dyDescent="0.25">
      <c r="A78" s="6">
        <v>75</v>
      </c>
      <c r="B78" s="5" t="s">
        <v>1202</v>
      </c>
      <c r="C78" s="5" t="s">
        <v>1140</v>
      </c>
      <c r="D78" s="5" t="s">
        <v>1190</v>
      </c>
      <c r="E78" s="5" t="s">
        <v>1205</v>
      </c>
      <c r="F78" s="5" t="s">
        <v>1206</v>
      </c>
      <c r="G78" s="6" t="s">
        <v>6</v>
      </c>
      <c r="H78" s="18">
        <v>0</v>
      </c>
    </row>
    <row r="79" spans="1:8" x14ac:dyDescent="0.25">
      <c r="A79" s="6">
        <v>76</v>
      </c>
      <c r="B79" s="5" t="s">
        <v>1202</v>
      </c>
      <c r="C79" s="5" t="s">
        <v>1140</v>
      </c>
      <c r="D79" s="5" t="s">
        <v>1190</v>
      </c>
      <c r="E79" s="5" t="s">
        <v>1207</v>
      </c>
      <c r="F79" s="5" t="s">
        <v>1208</v>
      </c>
      <c r="G79" s="6" t="s">
        <v>6</v>
      </c>
      <c r="H79" s="18">
        <v>0</v>
      </c>
    </row>
    <row r="80" spans="1:8" x14ac:dyDescent="0.25">
      <c r="A80" s="6">
        <v>77</v>
      </c>
      <c r="B80" s="5" t="s">
        <v>1202</v>
      </c>
      <c r="C80" s="5" t="s">
        <v>1140</v>
      </c>
      <c r="D80" s="5" t="s">
        <v>1190</v>
      </c>
      <c r="E80" s="5" t="s">
        <v>1209</v>
      </c>
      <c r="F80" s="5" t="s">
        <v>1210</v>
      </c>
      <c r="G80" s="6" t="s">
        <v>6</v>
      </c>
      <c r="H80" s="18">
        <v>0</v>
      </c>
    </row>
    <row r="81" spans="1:8" x14ac:dyDescent="0.25">
      <c r="A81" s="6">
        <v>78</v>
      </c>
      <c r="B81" s="5" t="s">
        <v>1202</v>
      </c>
      <c r="C81" s="5" t="s">
        <v>1140</v>
      </c>
      <c r="D81" s="5" t="s">
        <v>1190</v>
      </c>
      <c r="E81" s="5" t="s">
        <v>1211</v>
      </c>
      <c r="F81" s="5" t="s">
        <v>1212</v>
      </c>
      <c r="G81" s="6" t="s">
        <v>6</v>
      </c>
      <c r="H81" s="18">
        <v>0</v>
      </c>
    </row>
    <row r="82" spans="1:8" x14ac:dyDescent="0.25">
      <c r="A82" s="6">
        <v>79</v>
      </c>
      <c r="B82" s="5" t="s">
        <v>1213</v>
      </c>
      <c r="C82" s="5" t="s">
        <v>1140</v>
      </c>
      <c r="D82" s="5" t="s">
        <v>1190</v>
      </c>
      <c r="E82" s="5" t="s">
        <v>1214</v>
      </c>
      <c r="F82" s="5" t="s">
        <v>79</v>
      </c>
      <c r="G82" s="6" t="s">
        <v>6</v>
      </c>
      <c r="H82" s="18">
        <v>19</v>
      </c>
    </row>
    <row r="83" spans="1:8" x14ac:dyDescent="0.25">
      <c r="A83" s="6">
        <v>80</v>
      </c>
      <c r="B83" s="5" t="s">
        <v>1215</v>
      </c>
      <c r="C83" s="5" t="s">
        <v>1140</v>
      </c>
      <c r="D83" s="5" t="s">
        <v>1216</v>
      </c>
      <c r="E83" s="5" t="s">
        <v>1217</v>
      </c>
      <c r="F83" s="5" t="s">
        <v>1218</v>
      </c>
      <c r="G83" s="6" t="s">
        <v>6</v>
      </c>
      <c r="H83" s="18">
        <v>11</v>
      </c>
    </row>
    <row r="84" spans="1:8" x14ac:dyDescent="0.25">
      <c r="A84" s="6">
        <v>81</v>
      </c>
      <c r="B84" s="5" t="s">
        <v>1219</v>
      </c>
      <c r="C84" s="5" t="s">
        <v>1140</v>
      </c>
      <c r="D84" s="5" t="s">
        <v>1220</v>
      </c>
      <c r="E84" s="5" t="s">
        <v>1221</v>
      </c>
      <c r="F84" s="5" t="s">
        <v>79</v>
      </c>
      <c r="G84" s="6" t="s">
        <v>6</v>
      </c>
      <c r="H84" s="18">
        <v>10</v>
      </c>
    </row>
    <row r="85" spans="1:8" x14ac:dyDescent="0.25">
      <c r="A85" s="6">
        <v>82</v>
      </c>
      <c r="B85" s="5" t="s">
        <v>1222</v>
      </c>
      <c r="C85" s="5" t="s">
        <v>1140</v>
      </c>
      <c r="D85" s="5" t="s">
        <v>1220</v>
      </c>
      <c r="E85" s="5" t="s">
        <v>1223</v>
      </c>
      <c r="F85" s="5" t="s">
        <v>79</v>
      </c>
      <c r="G85" s="6" t="s">
        <v>6</v>
      </c>
      <c r="H85" s="18">
        <v>0</v>
      </c>
    </row>
    <row r="86" spans="1:8" x14ac:dyDescent="0.25">
      <c r="A86" s="6">
        <v>83</v>
      </c>
      <c r="B86" s="5" t="s">
        <v>1224</v>
      </c>
      <c r="C86" s="5" t="s">
        <v>1140</v>
      </c>
      <c r="D86" s="5" t="s">
        <v>1220</v>
      </c>
      <c r="E86" s="5" t="s">
        <v>1225</v>
      </c>
      <c r="F86" s="5" t="s">
        <v>79</v>
      </c>
      <c r="G86" s="6" t="s">
        <v>6</v>
      </c>
      <c r="H86" s="18">
        <v>2</v>
      </c>
    </row>
    <row r="87" spans="1:8" x14ac:dyDescent="0.25">
      <c r="A87" s="6">
        <v>84</v>
      </c>
      <c r="B87" s="5" t="s">
        <v>1226</v>
      </c>
      <c r="C87" s="5" t="s">
        <v>1227</v>
      </c>
      <c r="D87" s="5" t="s">
        <v>1228</v>
      </c>
      <c r="E87" s="5" t="s">
        <v>276</v>
      </c>
      <c r="F87" s="5" t="s">
        <v>1229</v>
      </c>
      <c r="G87" s="6" t="s">
        <v>6</v>
      </c>
      <c r="H87" s="18">
        <v>373</v>
      </c>
    </row>
    <row r="88" spans="1:8" x14ac:dyDescent="0.25">
      <c r="A88" s="6">
        <v>85</v>
      </c>
      <c r="B88" s="5" t="s">
        <v>1230</v>
      </c>
      <c r="C88" s="5" t="s">
        <v>1227</v>
      </c>
      <c r="D88" s="5" t="s">
        <v>1228</v>
      </c>
      <c r="E88" s="5" t="s">
        <v>850</v>
      </c>
      <c r="F88" s="5" t="s">
        <v>1231</v>
      </c>
      <c r="G88" s="6" t="s">
        <v>6</v>
      </c>
      <c r="H88" s="18">
        <v>110</v>
      </c>
    </row>
    <row r="89" spans="1:8" x14ac:dyDescent="0.25">
      <c r="A89" s="6">
        <v>86</v>
      </c>
      <c r="B89" s="5" t="s">
        <v>1232</v>
      </c>
      <c r="C89" s="5" t="s">
        <v>1227</v>
      </c>
      <c r="D89" s="5" t="s">
        <v>1228</v>
      </c>
      <c r="E89" s="5" t="s">
        <v>1233</v>
      </c>
      <c r="F89" s="5" t="s">
        <v>1234</v>
      </c>
      <c r="G89" s="6" t="s">
        <v>6</v>
      </c>
      <c r="H89" s="18">
        <v>123</v>
      </c>
    </row>
    <row r="90" spans="1:8" x14ac:dyDescent="0.25">
      <c r="A90" s="6">
        <v>87</v>
      </c>
      <c r="B90" s="5" t="s">
        <v>1235</v>
      </c>
      <c r="C90" s="5" t="s">
        <v>1227</v>
      </c>
      <c r="D90" s="5" t="s">
        <v>1228</v>
      </c>
      <c r="E90" s="5" t="s">
        <v>1236</v>
      </c>
      <c r="F90" s="5" t="s">
        <v>1237</v>
      </c>
      <c r="G90" s="6" t="s">
        <v>6</v>
      </c>
      <c r="H90" s="18">
        <v>2136</v>
      </c>
    </row>
    <row r="91" spans="1:8" x14ac:dyDescent="0.25">
      <c r="A91" s="6">
        <v>88</v>
      </c>
      <c r="B91" s="5" t="s">
        <v>1238</v>
      </c>
      <c r="C91" s="5" t="s">
        <v>1227</v>
      </c>
      <c r="D91" s="5" t="s">
        <v>1228</v>
      </c>
      <c r="E91" s="5" t="s">
        <v>1239</v>
      </c>
      <c r="F91" s="5" t="s">
        <v>1240</v>
      </c>
      <c r="G91" s="6" t="s">
        <v>6</v>
      </c>
      <c r="H91" s="18">
        <v>40</v>
      </c>
    </row>
    <row r="92" spans="1:8" x14ac:dyDescent="0.25">
      <c r="A92" s="6">
        <v>89</v>
      </c>
      <c r="B92" s="5" t="s">
        <v>1241</v>
      </c>
      <c r="C92" s="5" t="s">
        <v>1227</v>
      </c>
      <c r="D92" s="5" t="s">
        <v>1228</v>
      </c>
      <c r="E92" s="5" t="s">
        <v>1242</v>
      </c>
      <c r="F92" s="5" t="s">
        <v>1243</v>
      </c>
      <c r="G92" s="6" t="s">
        <v>6</v>
      </c>
      <c r="H92" s="18">
        <v>50</v>
      </c>
    </row>
    <row r="93" spans="1:8" x14ac:dyDescent="0.25">
      <c r="A93" s="6">
        <v>90</v>
      </c>
      <c r="B93" s="5" t="s">
        <v>1244</v>
      </c>
      <c r="C93" s="5" t="s">
        <v>1227</v>
      </c>
      <c r="D93" s="5" t="s">
        <v>1228</v>
      </c>
      <c r="E93" s="5" t="s">
        <v>1245</v>
      </c>
      <c r="F93" s="5" t="s">
        <v>1246</v>
      </c>
      <c r="G93" s="6" t="s">
        <v>6</v>
      </c>
      <c r="H93" s="18">
        <v>24</v>
      </c>
    </row>
    <row r="94" spans="1:8" x14ac:dyDescent="0.25">
      <c r="A94" s="6">
        <v>91</v>
      </c>
      <c r="B94" s="5" t="s">
        <v>1247</v>
      </c>
      <c r="C94" s="5" t="s">
        <v>1227</v>
      </c>
      <c r="D94" s="5" t="s">
        <v>1248</v>
      </c>
      <c r="E94" s="5" t="s">
        <v>1249</v>
      </c>
      <c r="F94" s="5" t="s">
        <v>1250</v>
      </c>
      <c r="G94" s="6" t="s">
        <v>6</v>
      </c>
      <c r="H94" s="18">
        <v>37</v>
      </c>
    </row>
    <row r="95" spans="1:8" x14ac:dyDescent="0.25">
      <c r="A95" s="6">
        <v>92</v>
      </c>
      <c r="B95" s="5" t="s">
        <v>1247</v>
      </c>
      <c r="C95" s="5" t="s">
        <v>1227</v>
      </c>
      <c r="D95" s="5" t="s">
        <v>1248</v>
      </c>
      <c r="E95" s="5" t="s">
        <v>1251</v>
      </c>
      <c r="F95" s="5" t="s">
        <v>1250</v>
      </c>
      <c r="G95" s="6" t="s">
        <v>6</v>
      </c>
      <c r="H95" s="18">
        <v>45</v>
      </c>
    </row>
    <row r="96" spans="1:8" x14ac:dyDescent="0.25">
      <c r="A96" s="6">
        <v>93</v>
      </c>
      <c r="B96" s="5" t="s">
        <v>1252</v>
      </c>
      <c r="C96" s="5" t="s">
        <v>1253</v>
      </c>
      <c r="D96" s="5" t="s">
        <v>1254</v>
      </c>
      <c r="E96" s="5" t="s">
        <v>1255</v>
      </c>
      <c r="F96" s="5" t="s">
        <v>79</v>
      </c>
      <c r="G96" s="6" t="s">
        <v>6</v>
      </c>
      <c r="H96" s="18">
        <v>859</v>
      </c>
    </row>
    <row r="97" spans="1:8" x14ac:dyDescent="0.25">
      <c r="A97" s="6">
        <v>94</v>
      </c>
      <c r="B97" s="5" t="s">
        <v>1256</v>
      </c>
      <c r="C97" s="5" t="s">
        <v>1253</v>
      </c>
      <c r="D97" s="5" t="s">
        <v>1254</v>
      </c>
      <c r="E97" s="5" t="s">
        <v>1257</v>
      </c>
      <c r="F97" s="5" t="s">
        <v>1258</v>
      </c>
      <c r="G97" s="6" t="s">
        <v>6</v>
      </c>
      <c r="H97" s="18">
        <v>232</v>
      </c>
    </row>
    <row r="98" spans="1:8" x14ac:dyDescent="0.25">
      <c r="A98" s="6">
        <v>95</v>
      </c>
      <c r="B98" s="5" t="s">
        <v>1259</v>
      </c>
      <c r="C98" s="5" t="s">
        <v>1253</v>
      </c>
      <c r="D98" s="5" t="s">
        <v>1254</v>
      </c>
      <c r="E98" s="5" t="s">
        <v>1260</v>
      </c>
      <c r="F98" s="5" t="s">
        <v>79</v>
      </c>
      <c r="G98" s="6" t="s">
        <v>6</v>
      </c>
      <c r="H98" s="18">
        <v>307</v>
      </c>
    </row>
    <row r="99" spans="1:8" x14ac:dyDescent="0.25">
      <c r="A99" s="6">
        <v>96</v>
      </c>
      <c r="B99" s="5" t="s">
        <v>1261</v>
      </c>
      <c r="C99" s="5" t="s">
        <v>1253</v>
      </c>
      <c r="D99" s="5" t="s">
        <v>1254</v>
      </c>
      <c r="E99" s="5" t="s">
        <v>1262</v>
      </c>
      <c r="F99" s="5" t="s">
        <v>79</v>
      </c>
      <c r="G99" s="6" t="s">
        <v>6</v>
      </c>
      <c r="H99" s="18">
        <v>379</v>
      </c>
    </row>
    <row r="100" spans="1:8" x14ac:dyDescent="0.25">
      <c r="A100" s="6">
        <v>97</v>
      </c>
      <c r="B100" s="5" t="s">
        <v>1263</v>
      </c>
      <c r="C100" s="5" t="s">
        <v>1253</v>
      </c>
      <c r="D100" s="5" t="s">
        <v>1254</v>
      </c>
      <c r="E100" s="5" t="s">
        <v>1264</v>
      </c>
      <c r="F100" s="5" t="s">
        <v>1265</v>
      </c>
      <c r="G100" s="6" t="s">
        <v>6</v>
      </c>
      <c r="H100" s="18">
        <v>382</v>
      </c>
    </row>
    <row r="101" spans="1:8" x14ac:dyDescent="0.25">
      <c r="A101" s="6">
        <v>98</v>
      </c>
      <c r="B101" s="5" t="s">
        <v>1263</v>
      </c>
      <c r="C101" s="5" t="s">
        <v>1253</v>
      </c>
      <c r="D101" s="5" t="s">
        <v>1254</v>
      </c>
      <c r="E101" s="5" t="s">
        <v>1266</v>
      </c>
      <c r="F101" s="5" t="s">
        <v>1265</v>
      </c>
      <c r="G101" s="6" t="s">
        <v>6</v>
      </c>
      <c r="H101" s="18">
        <v>323</v>
      </c>
    </row>
    <row r="102" spans="1:8" x14ac:dyDescent="0.25">
      <c r="A102" s="6">
        <v>99</v>
      </c>
      <c r="B102" s="5" t="s">
        <v>1263</v>
      </c>
      <c r="C102" s="5" t="s">
        <v>1253</v>
      </c>
      <c r="D102" s="5" t="s">
        <v>1254</v>
      </c>
      <c r="E102" s="5" t="s">
        <v>1267</v>
      </c>
      <c r="F102" s="5" t="s">
        <v>1265</v>
      </c>
      <c r="G102" s="6" t="s">
        <v>6</v>
      </c>
      <c r="H102" s="18">
        <v>269</v>
      </c>
    </row>
    <row r="103" spans="1:8" x14ac:dyDescent="0.25">
      <c r="A103" s="6">
        <v>100</v>
      </c>
      <c r="B103" s="5" t="s">
        <v>1263</v>
      </c>
      <c r="C103" s="5" t="s">
        <v>1253</v>
      </c>
      <c r="D103" s="5" t="s">
        <v>1254</v>
      </c>
      <c r="E103" s="5" t="s">
        <v>1268</v>
      </c>
      <c r="F103" s="5" t="s">
        <v>1265</v>
      </c>
      <c r="G103" s="6" t="s">
        <v>6</v>
      </c>
      <c r="H103" s="18">
        <v>251</v>
      </c>
    </row>
    <row r="104" spans="1:8" x14ac:dyDescent="0.25">
      <c r="A104" s="6">
        <v>101</v>
      </c>
      <c r="B104" s="5" t="s">
        <v>1263</v>
      </c>
      <c r="C104" s="5" t="s">
        <v>1253</v>
      </c>
      <c r="D104" s="5" t="s">
        <v>1254</v>
      </c>
      <c r="E104" s="5" t="s">
        <v>1269</v>
      </c>
      <c r="F104" s="5" t="s">
        <v>1265</v>
      </c>
      <c r="G104" s="6" t="s">
        <v>6</v>
      </c>
      <c r="H104" s="18">
        <v>226</v>
      </c>
    </row>
    <row r="105" spans="1:8" x14ac:dyDescent="0.25">
      <c r="A105" s="6">
        <v>102</v>
      </c>
      <c r="B105" s="5" t="s">
        <v>1270</v>
      </c>
      <c r="C105" s="5" t="s">
        <v>1253</v>
      </c>
      <c r="D105" s="5" t="s">
        <v>1254</v>
      </c>
      <c r="E105" s="5" t="s">
        <v>1049</v>
      </c>
      <c r="F105" s="5" t="s">
        <v>1271</v>
      </c>
      <c r="G105" s="6" t="s">
        <v>6</v>
      </c>
      <c r="H105" s="18">
        <v>140</v>
      </c>
    </row>
    <row r="106" spans="1:8" x14ac:dyDescent="0.25">
      <c r="A106" s="6">
        <v>103</v>
      </c>
      <c r="B106" s="5" t="s">
        <v>1272</v>
      </c>
      <c r="C106" s="5" t="s">
        <v>1253</v>
      </c>
      <c r="D106" s="5" t="s">
        <v>1254</v>
      </c>
      <c r="E106" s="5" t="s">
        <v>1273</v>
      </c>
      <c r="F106" s="5" t="s">
        <v>1274</v>
      </c>
      <c r="G106" s="6" t="s">
        <v>6</v>
      </c>
      <c r="H106" s="18">
        <v>492</v>
      </c>
    </row>
    <row r="107" spans="1:8" x14ac:dyDescent="0.25">
      <c r="A107" s="6">
        <v>104</v>
      </c>
      <c r="B107" s="5" t="s">
        <v>1275</v>
      </c>
      <c r="C107" s="5" t="s">
        <v>1253</v>
      </c>
      <c r="D107" s="5" t="s">
        <v>1254</v>
      </c>
      <c r="E107" s="5" t="s">
        <v>1276</v>
      </c>
      <c r="F107" s="5" t="s">
        <v>1277</v>
      </c>
      <c r="G107" s="6" t="s">
        <v>6</v>
      </c>
      <c r="H107" s="18">
        <v>455</v>
      </c>
    </row>
    <row r="108" spans="1:8" x14ac:dyDescent="0.25">
      <c r="A108" s="6">
        <v>105</v>
      </c>
      <c r="B108" s="5" t="s">
        <v>1278</v>
      </c>
      <c r="C108" s="5" t="s">
        <v>1253</v>
      </c>
      <c r="D108" s="5" t="s">
        <v>1254</v>
      </c>
      <c r="E108" s="5" t="s">
        <v>1279</v>
      </c>
      <c r="F108" s="5" t="s">
        <v>1280</v>
      </c>
      <c r="G108" s="6" t="s">
        <v>6</v>
      </c>
      <c r="H108" s="18">
        <v>114</v>
      </c>
    </row>
    <row r="109" spans="1:8" x14ac:dyDescent="0.25">
      <c r="A109" s="6">
        <v>106</v>
      </c>
      <c r="B109" s="5" t="s">
        <v>1281</v>
      </c>
      <c r="C109" s="5" t="s">
        <v>1253</v>
      </c>
      <c r="D109" s="5" t="s">
        <v>1254</v>
      </c>
      <c r="E109" s="5" t="s">
        <v>1282</v>
      </c>
      <c r="F109" s="5" t="s">
        <v>1283</v>
      </c>
      <c r="G109" s="6" t="s">
        <v>6</v>
      </c>
      <c r="H109" s="18">
        <v>166</v>
      </c>
    </row>
    <row r="110" spans="1:8" x14ac:dyDescent="0.25">
      <c r="A110" s="6">
        <v>107</v>
      </c>
      <c r="B110" s="5" t="s">
        <v>1284</v>
      </c>
      <c r="C110" s="5" t="s">
        <v>1253</v>
      </c>
      <c r="D110" s="5" t="s">
        <v>1254</v>
      </c>
      <c r="E110" s="5" t="s">
        <v>1285</v>
      </c>
      <c r="F110" s="5" t="s">
        <v>1286</v>
      </c>
      <c r="G110" s="6" t="s">
        <v>6</v>
      </c>
      <c r="H110" s="18">
        <v>178</v>
      </c>
    </row>
    <row r="111" spans="1:8" x14ac:dyDescent="0.25">
      <c r="A111" s="6">
        <v>108</v>
      </c>
      <c r="B111" s="5" t="s">
        <v>1287</v>
      </c>
      <c r="C111" s="5" t="s">
        <v>1253</v>
      </c>
      <c r="D111" s="5" t="s">
        <v>1254</v>
      </c>
      <c r="E111" s="5" t="s">
        <v>1288</v>
      </c>
      <c r="F111" s="5" t="s">
        <v>1289</v>
      </c>
      <c r="G111" s="6" t="s">
        <v>6</v>
      </c>
      <c r="H111" s="18">
        <v>167</v>
      </c>
    </row>
    <row r="112" spans="1:8" x14ac:dyDescent="0.25">
      <c r="A112" s="6">
        <v>109</v>
      </c>
      <c r="B112" s="5" t="s">
        <v>1290</v>
      </c>
      <c r="C112" s="5" t="s">
        <v>1253</v>
      </c>
      <c r="D112" s="5" t="s">
        <v>1254</v>
      </c>
      <c r="E112" s="5" t="s">
        <v>1291</v>
      </c>
      <c r="F112" s="5" t="s">
        <v>1292</v>
      </c>
      <c r="G112" s="6" t="s">
        <v>6</v>
      </c>
      <c r="H112" s="18">
        <v>195</v>
      </c>
    </row>
    <row r="113" spans="1:8" x14ac:dyDescent="0.25">
      <c r="A113" s="6">
        <v>110</v>
      </c>
      <c r="B113" s="5" t="s">
        <v>1293</v>
      </c>
      <c r="C113" s="5" t="s">
        <v>1253</v>
      </c>
      <c r="D113" s="5" t="s">
        <v>1254</v>
      </c>
      <c r="E113" s="5" t="s">
        <v>1294</v>
      </c>
      <c r="F113" s="5" t="s">
        <v>1295</v>
      </c>
      <c r="G113" s="6" t="s">
        <v>6</v>
      </c>
      <c r="H113" s="18">
        <v>128</v>
      </c>
    </row>
    <row r="114" spans="1:8" x14ac:dyDescent="0.25">
      <c r="A114" s="6">
        <v>111</v>
      </c>
      <c r="B114" s="5" t="s">
        <v>1293</v>
      </c>
      <c r="C114" s="5" t="s">
        <v>1253</v>
      </c>
      <c r="D114" s="5" t="s">
        <v>1254</v>
      </c>
      <c r="E114" s="5" t="s">
        <v>1296</v>
      </c>
      <c r="F114" s="5" t="s">
        <v>1295</v>
      </c>
      <c r="G114" s="6" t="s">
        <v>6</v>
      </c>
      <c r="H114" s="18">
        <v>99</v>
      </c>
    </row>
    <row r="115" spans="1:8" x14ac:dyDescent="0.25">
      <c r="A115" s="6">
        <v>112</v>
      </c>
      <c r="B115" s="5" t="s">
        <v>1293</v>
      </c>
      <c r="C115" s="5" t="s">
        <v>1253</v>
      </c>
      <c r="D115" s="5" t="s">
        <v>1254</v>
      </c>
      <c r="E115" s="5" t="s">
        <v>1297</v>
      </c>
      <c r="F115" s="5" t="s">
        <v>1295</v>
      </c>
      <c r="G115" s="6" t="s">
        <v>6</v>
      </c>
      <c r="H115" s="18">
        <v>172</v>
      </c>
    </row>
    <row r="116" spans="1:8" x14ac:dyDescent="0.25">
      <c r="A116" s="6">
        <v>113</v>
      </c>
      <c r="B116" s="5" t="s">
        <v>1298</v>
      </c>
      <c r="C116" s="5" t="s">
        <v>1253</v>
      </c>
      <c r="D116" s="5" t="s">
        <v>1254</v>
      </c>
      <c r="E116" s="5" t="s">
        <v>1299</v>
      </c>
      <c r="F116" s="5" t="s">
        <v>1300</v>
      </c>
      <c r="G116" s="6" t="s">
        <v>6</v>
      </c>
      <c r="H116" s="18">
        <v>59</v>
      </c>
    </row>
    <row r="117" spans="1:8" x14ac:dyDescent="0.25">
      <c r="A117" s="6">
        <v>114</v>
      </c>
      <c r="B117" s="5" t="s">
        <v>1301</v>
      </c>
      <c r="C117" s="5" t="s">
        <v>1253</v>
      </c>
      <c r="D117" s="5" t="s">
        <v>1254</v>
      </c>
      <c r="E117" s="5" t="s">
        <v>1302</v>
      </c>
      <c r="F117" s="5" t="s">
        <v>1303</v>
      </c>
      <c r="G117" s="6" t="s">
        <v>6</v>
      </c>
      <c r="H117" s="18">
        <v>184</v>
      </c>
    </row>
    <row r="118" spans="1:8" x14ac:dyDescent="0.25">
      <c r="A118" s="6">
        <v>115</v>
      </c>
      <c r="B118" s="5" t="s">
        <v>1304</v>
      </c>
      <c r="C118" s="5" t="s">
        <v>1305</v>
      </c>
      <c r="D118" s="5" t="s">
        <v>1306</v>
      </c>
      <c r="E118" s="5" t="s">
        <v>1307</v>
      </c>
      <c r="F118" s="5" t="s">
        <v>79</v>
      </c>
      <c r="G118" s="6" t="s">
        <v>6</v>
      </c>
      <c r="H118" s="18">
        <v>692</v>
      </c>
    </row>
    <row r="119" spans="1:8" x14ac:dyDescent="0.25">
      <c r="A119" s="6">
        <v>116</v>
      </c>
      <c r="B119" s="5" t="s">
        <v>1308</v>
      </c>
      <c r="C119" s="5" t="s">
        <v>1305</v>
      </c>
      <c r="D119" s="5" t="s">
        <v>1306</v>
      </c>
      <c r="E119" s="5" t="s">
        <v>1309</v>
      </c>
      <c r="F119" s="5" t="s">
        <v>79</v>
      </c>
      <c r="G119" s="6" t="s">
        <v>6</v>
      </c>
      <c r="H119" s="18">
        <v>243</v>
      </c>
    </row>
    <row r="120" spans="1:8" x14ac:dyDescent="0.25">
      <c r="A120" s="6">
        <v>117</v>
      </c>
      <c r="B120" s="5" t="s">
        <v>1310</v>
      </c>
      <c r="C120" s="5" t="s">
        <v>1305</v>
      </c>
      <c r="D120" s="5" t="s">
        <v>1306</v>
      </c>
      <c r="E120" s="5" t="s">
        <v>1311</v>
      </c>
      <c r="F120" s="5" t="s">
        <v>1312</v>
      </c>
      <c r="G120" s="6" t="s">
        <v>6</v>
      </c>
      <c r="H120" s="18">
        <v>321</v>
      </c>
    </row>
    <row r="121" spans="1:8" x14ac:dyDescent="0.25">
      <c r="A121" s="6">
        <v>118</v>
      </c>
      <c r="B121" s="5" t="s">
        <v>1313</v>
      </c>
      <c r="C121" s="5" t="s">
        <v>1305</v>
      </c>
      <c r="D121" s="5" t="s">
        <v>1306</v>
      </c>
      <c r="E121" s="5" t="s">
        <v>1314</v>
      </c>
      <c r="F121" s="5" t="s">
        <v>1315</v>
      </c>
      <c r="G121" s="6" t="s">
        <v>6</v>
      </c>
      <c r="H121" s="18">
        <v>211</v>
      </c>
    </row>
    <row r="122" spans="1:8" x14ac:dyDescent="0.25">
      <c r="A122" s="6">
        <v>119</v>
      </c>
      <c r="B122" s="5" t="s">
        <v>1316</v>
      </c>
      <c r="C122" s="5" t="s">
        <v>1305</v>
      </c>
      <c r="D122" s="5" t="s">
        <v>1306</v>
      </c>
      <c r="E122" s="5" t="s">
        <v>1317</v>
      </c>
      <c r="F122" s="5" t="s">
        <v>1318</v>
      </c>
      <c r="G122" s="6" t="s">
        <v>6</v>
      </c>
      <c r="H122" s="18">
        <v>248</v>
      </c>
    </row>
    <row r="123" spans="1:8" x14ac:dyDescent="0.25">
      <c r="A123" s="6">
        <v>120</v>
      </c>
      <c r="B123" s="5" t="s">
        <v>1319</v>
      </c>
      <c r="C123" s="5" t="s">
        <v>1305</v>
      </c>
      <c r="D123" s="5" t="s">
        <v>1306</v>
      </c>
      <c r="E123" s="5" t="s">
        <v>1320</v>
      </c>
      <c r="F123" s="5" t="s">
        <v>1321</v>
      </c>
      <c r="G123" s="6" t="s">
        <v>6</v>
      </c>
      <c r="H123" s="18">
        <v>186</v>
      </c>
    </row>
    <row r="124" spans="1:8" x14ac:dyDescent="0.25">
      <c r="A124" s="6">
        <v>121</v>
      </c>
      <c r="B124" s="5" t="s">
        <v>1322</v>
      </c>
      <c r="C124" s="5" t="s">
        <v>1305</v>
      </c>
      <c r="D124" s="5" t="s">
        <v>1306</v>
      </c>
      <c r="E124" s="5" t="s">
        <v>1299</v>
      </c>
      <c r="F124" s="5" t="s">
        <v>1323</v>
      </c>
      <c r="G124" s="6" t="s">
        <v>6</v>
      </c>
      <c r="H124" s="18">
        <v>81</v>
      </c>
    </row>
    <row r="125" spans="1:8" x14ac:dyDescent="0.25">
      <c r="A125" s="6">
        <v>122</v>
      </c>
      <c r="B125" s="5" t="s">
        <v>1304</v>
      </c>
      <c r="C125" s="5" t="s">
        <v>1305</v>
      </c>
      <c r="D125" s="5" t="s">
        <v>1324</v>
      </c>
      <c r="E125" s="5" t="s">
        <v>1307</v>
      </c>
      <c r="F125" s="5" t="s">
        <v>79</v>
      </c>
      <c r="G125" s="6" t="s">
        <v>6</v>
      </c>
      <c r="H125" s="18">
        <v>136</v>
      </c>
    </row>
    <row r="126" spans="1:8" x14ac:dyDescent="0.25">
      <c r="A126" s="6">
        <v>123</v>
      </c>
      <c r="B126" s="5" t="s">
        <v>1308</v>
      </c>
      <c r="C126" s="5" t="s">
        <v>1305</v>
      </c>
      <c r="D126" s="5" t="s">
        <v>1324</v>
      </c>
      <c r="E126" s="5" t="s">
        <v>1309</v>
      </c>
      <c r="F126" s="5" t="s">
        <v>79</v>
      </c>
      <c r="G126" s="6" t="s">
        <v>6</v>
      </c>
      <c r="H126" s="18">
        <v>146</v>
      </c>
    </row>
    <row r="127" spans="1:8" x14ac:dyDescent="0.25">
      <c r="A127" s="6">
        <v>124</v>
      </c>
      <c r="B127" s="5" t="s">
        <v>1310</v>
      </c>
      <c r="C127" s="5" t="s">
        <v>1305</v>
      </c>
      <c r="D127" s="5" t="s">
        <v>1324</v>
      </c>
      <c r="E127" s="5" t="s">
        <v>1311</v>
      </c>
      <c r="F127" s="5" t="s">
        <v>1312</v>
      </c>
      <c r="G127" s="6" t="s">
        <v>6</v>
      </c>
      <c r="H127" s="18">
        <v>199</v>
      </c>
    </row>
    <row r="128" spans="1:8" x14ac:dyDescent="0.25">
      <c r="A128" s="6">
        <v>125</v>
      </c>
      <c r="B128" s="5" t="s">
        <v>1313</v>
      </c>
      <c r="C128" s="5" t="s">
        <v>1305</v>
      </c>
      <c r="D128" s="5" t="s">
        <v>1324</v>
      </c>
      <c r="E128" s="5" t="s">
        <v>1314</v>
      </c>
      <c r="F128" s="5" t="s">
        <v>1315</v>
      </c>
      <c r="G128" s="6" t="s">
        <v>6</v>
      </c>
      <c r="H128" s="18">
        <v>141</v>
      </c>
    </row>
    <row r="129" spans="1:8" x14ac:dyDescent="0.25">
      <c r="A129" s="6">
        <v>126</v>
      </c>
      <c r="B129" s="5" t="s">
        <v>1316</v>
      </c>
      <c r="C129" s="5" t="s">
        <v>1305</v>
      </c>
      <c r="D129" s="5" t="s">
        <v>1324</v>
      </c>
      <c r="E129" s="5" t="s">
        <v>1317</v>
      </c>
      <c r="F129" s="5" t="s">
        <v>1318</v>
      </c>
      <c r="G129" s="6" t="s">
        <v>6</v>
      </c>
      <c r="H129" s="18">
        <v>170</v>
      </c>
    </row>
    <row r="130" spans="1:8" x14ac:dyDescent="0.25">
      <c r="A130" s="6">
        <v>127</v>
      </c>
      <c r="B130" s="5" t="s">
        <v>1319</v>
      </c>
      <c r="C130" s="5" t="s">
        <v>1305</v>
      </c>
      <c r="D130" s="5" t="s">
        <v>1324</v>
      </c>
      <c r="E130" s="5" t="s">
        <v>1320</v>
      </c>
      <c r="F130" s="5" t="s">
        <v>1321</v>
      </c>
      <c r="G130" s="6" t="s">
        <v>6</v>
      </c>
      <c r="H130" s="18">
        <v>119</v>
      </c>
    </row>
    <row r="131" spans="1:8" x14ac:dyDescent="0.25">
      <c r="A131" s="6">
        <v>128</v>
      </c>
      <c r="B131" s="5" t="s">
        <v>1322</v>
      </c>
      <c r="C131" s="5" t="s">
        <v>1305</v>
      </c>
      <c r="D131" s="5" t="s">
        <v>1324</v>
      </c>
      <c r="E131" s="5" t="s">
        <v>1299</v>
      </c>
      <c r="F131" s="5" t="s">
        <v>1323</v>
      </c>
      <c r="G131" s="6" t="s">
        <v>6</v>
      </c>
      <c r="H131" s="18">
        <v>59</v>
      </c>
    </row>
    <row r="132" spans="1:8" x14ac:dyDescent="0.25">
      <c r="A132" s="6">
        <v>129</v>
      </c>
      <c r="B132" s="5" t="s">
        <v>1325</v>
      </c>
      <c r="C132" s="5" t="s">
        <v>1326</v>
      </c>
      <c r="D132" s="5" t="s">
        <v>1327</v>
      </c>
      <c r="E132" s="5" t="s">
        <v>1328</v>
      </c>
      <c r="F132" s="5" t="s">
        <v>1329</v>
      </c>
      <c r="G132" s="6" t="s">
        <v>6</v>
      </c>
      <c r="H132" s="18">
        <v>50</v>
      </c>
    </row>
    <row r="133" spans="1:8" x14ac:dyDescent="0.25">
      <c r="A133" s="6">
        <v>130</v>
      </c>
      <c r="B133" s="5" t="s">
        <v>1330</v>
      </c>
      <c r="C133" s="5" t="s">
        <v>1326</v>
      </c>
      <c r="D133" s="5" t="s">
        <v>1327</v>
      </c>
      <c r="E133" s="5" t="s">
        <v>1331</v>
      </c>
      <c r="F133" s="5" t="s">
        <v>79</v>
      </c>
      <c r="G133" s="6" t="s">
        <v>6</v>
      </c>
      <c r="H133" s="18">
        <v>284</v>
      </c>
    </row>
    <row r="134" spans="1:8" x14ac:dyDescent="0.25">
      <c r="A134" s="6">
        <v>131</v>
      </c>
      <c r="B134" s="5" t="s">
        <v>1332</v>
      </c>
      <c r="C134" s="5" t="s">
        <v>1326</v>
      </c>
      <c r="D134" s="5" t="s">
        <v>1327</v>
      </c>
      <c r="E134" s="5" t="s">
        <v>1333</v>
      </c>
      <c r="F134" s="5" t="s">
        <v>1334</v>
      </c>
      <c r="G134" s="6" t="s">
        <v>6</v>
      </c>
      <c r="H134" s="18">
        <v>35</v>
      </c>
    </row>
    <row r="135" spans="1:8" x14ac:dyDescent="0.25">
      <c r="A135" s="6">
        <v>132</v>
      </c>
      <c r="B135" s="5" t="s">
        <v>1335</v>
      </c>
      <c r="C135" s="5" t="s">
        <v>1326</v>
      </c>
      <c r="D135" s="5" t="s">
        <v>1327</v>
      </c>
      <c r="E135" s="5" t="s">
        <v>1336</v>
      </c>
      <c r="F135" s="5" t="s">
        <v>1337</v>
      </c>
      <c r="G135" s="6" t="s">
        <v>6</v>
      </c>
      <c r="H135" s="18">
        <v>42</v>
      </c>
    </row>
    <row r="136" spans="1:8" x14ac:dyDescent="0.25">
      <c r="A136" s="6">
        <v>133</v>
      </c>
      <c r="B136" s="5" t="s">
        <v>1335</v>
      </c>
      <c r="C136" s="5" t="s">
        <v>1326</v>
      </c>
      <c r="D136" s="5" t="s">
        <v>1327</v>
      </c>
      <c r="E136" s="5" t="s">
        <v>1338</v>
      </c>
      <c r="F136" s="5" t="s">
        <v>1337</v>
      </c>
      <c r="G136" s="6" t="s">
        <v>6</v>
      </c>
      <c r="H136" s="18">
        <v>16</v>
      </c>
    </row>
    <row r="137" spans="1:8" x14ac:dyDescent="0.25">
      <c r="A137" s="6">
        <v>134</v>
      </c>
      <c r="B137" s="5" t="s">
        <v>1335</v>
      </c>
      <c r="C137" s="5" t="s">
        <v>1326</v>
      </c>
      <c r="D137" s="5" t="s">
        <v>1327</v>
      </c>
      <c r="E137" s="5" t="s">
        <v>1339</v>
      </c>
      <c r="F137" s="5" t="s">
        <v>1337</v>
      </c>
      <c r="G137" s="6" t="s">
        <v>6</v>
      </c>
      <c r="H137" s="18">
        <v>29</v>
      </c>
    </row>
    <row r="138" spans="1:8" x14ac:dyDescent="0.25">
      <c r="A138" s="6">
        <v>135</v>
      </c>
      <c r="B138" s="5" t="s">
        <v>1340</v>
      </c>
      <c r="C138" s="5" t="s">
        <v>1326</v>
      </c>
      <c r="D138" s="5" t="s">
        <v>1327</v>
      </c>
      <c r="E138" s="5" t="s">
        <v>1341</v>
      </c>
      <c r="F138" s="5" t="s">
        <v>1342</v>
      </c>
      <c r="G138" s="6" t="s">
        <v>6</v>
      </c>
      <c r="H138" s="18">
        <v>20</v>
      </c>
    </row>
    <row r="139" spans="1:8" x14ac:dyDescent="0.25">
      <c r="A139" s="6">
        <v>136</v>
      </c>
      <c r="B139" s="5" t="s">
        <v>1343</v>
      </c>
      <c r="C139" s="5" t="s">
        <v>1326</v>
      </c>
      <c r="D139" s="5" t="s">
        <v>1344</v>
      </c>
      <c r="E139" s="5" t="s">
        <v>1345</v>
      </c>
      <c r="F139" s="5" t="s">
        <v>1346</v>
      </c>
      <c r="G139" s="6" t="s">
        <v>6</v>
      </c>
      <c r="H139" s="18">
        <v>218</v>
      </c>
    </row>
    <row r="140" spans="1:8" x14ac:dyDescent="0.25">
      <c r="A140" s="6">
        <v>137</v>
      </c>
      <c r="B140" s="5" t="s">
        <v>1347</v>
      </c>
      <c r="C140" s="5" t="s">
        <v>1326</v>
      </c>
      <c r="D140" s="5" t="s">
        <v>1344</v>
      </c>
      <c r="E140" s="5" t="s">
        <v>1348</v>
      </c>
      <c r="F140" s="5" t="s">
        <v>1349</v>
      </c>
      <c r="G140" s="6" t="s">
        <v>6</v>
      </c>
      <c r="H140" s="18">
        <v>120</v>
      </c>
    </row>
    <row r="141" spans="1:8" x14ac:dyDescent="0.25">
      <c r="A141" s="6">
        <v>138</v>
      </c>
      <c r="B141" s="5" t="s">
        <v>1350</v>
      </c>
      <c r="C141" s="5" t="s">
        <v>1326</v>
      </c>
      <c r="D141" s="5" t="s">
        <v>1351</v>
      </c>
      <c r="E141" s="5" t="s">
        <v>1352</v>
      </c>
      <c r="F141" s="5" t="s">
        <v>1353</v>
      </c>
      <c r="G141" s="6" t="s">
        <v>6</v>
      </c>
      <c r="H141" s="18">
        <v>117</v>
      </c>
    </row>
    <row r="142" spans="1:8" x14ac:dyDescent="0.25">
      <c r="A142" s="6">
        <v>139</v>
      </c>
      <c r="B142" s="5" t="s">
        <v>1354</v>
      </c>
      <c r="C142" s="5" t="s">
        <v>1326</v>
      </c>
      <c r="D142" s="5" t="s">
        <v>1351</v>
      </c>
      <c r="E142" s="5" t="s">
        <v>1355</v>
      </c>
      <c r="F142" s="5" t="s">
        <v>1356</v>
      </c>
      <c r="G142" s="6" t="s">
        <v>6</v>
      </c>
      <c r="H142" s="18">
        <v>87</v>
      </c>
    </row>
    <row r="143" spans="1:8" x14ac:dyDescent="0.25">
      <c r="A143" s="6">
        <v>140</v>
      </c>
      <c r="B143" s="5" t="s">
        <v>1357</v>
      </c>
      <c r="C143" s="5" t="s">
        <v>1358</v>
      </c>
      <c r="D143" s="5" t="s">
        <v>1359</v>
      </c>
      <c r="E143" s="5" t="s">
        <v>1360</v>
      </c>
      <c r="F143" s="5" t="s">
        <v>79</v>
      </c>
      <c r="G143" s="6" t="s">
        <v>6</v>
      </c>
      <c r="H143" s="18">
        <v>502</v>
      </c>
    </row>
    <row r="144" spans="1:8" x14ac:dyDescent="0.25">
      <c r="A144" s="6">
        <v>141</v>
      </c>
      <c r="B144" s="5" t="s">
        <v>1361</v>
      </c>
      <c r="C144" s="5" t="s">
        <v>1358</v>
      </c>
      <c r="D144" s="5" t="s">
        <v>1359</v>
      </c>
      <c r="E144" s="5" t="s">
        <v>1362</v>
      </c>
      <c r="F144" s="5" t="s">
        <v>1363</v>
      </c>
      <c r="G144" s="6" t="s">
        <v>6</v>
      </c>
      <c r="H144" s="18">
        <v>195</v>
      </c>
    </row>
    <row r="145" spans="1:8" x14ac:dyDescent="0.25">
      <c r="A145" s="6">
        <v>142</v>
      </c>
      <c r="B145" s="5" t="s">
        <v>1361</v>
      </c>
      <c r="C145" s="5" t="s">
        <v>1358</v>
      </c>
      <c r="D145" s="5" t="s">
        <v>1359</v>
      </c>
      <c r="E145" s="5" t="s">
        <v>1364</v>
      </c>
      <c r="F145" s="5" t="s">
        <v>1363</v>
      </c>
      <c r="G145" s="6" t="s">
        <v>6</v>
      </c>
      <c r="H145" s="18">
        <v>168</v>
      </c>
    </row>
    <row r="146" spans="1:8" x14ac:dyDescent="0.25">
      <c r="A146" s="6">
        <v>143</v>
      </c>
      <c r="B146" s="5" t="s">
        <v>1361</v>
      </c>
      <c r="C146" s="5" t="s">
        <v>1358</v>
      </c>
      <c r="D146" s="5" t="s">
        <v>1359</v>
      </c>
      <c r="E146" s="5" t="s">
        <v>1365</v>
      </c>
      <c r="F146" s="5" t="s">
        <v>1363</v>
      </c>
      <c r="G146" s="6" t="s">
        <v>6</v>
      </c>
      <c r="H146" s="18">
        <v>140</v>
      </c>
    </row>
    <row r="147" spans="1:8" x14ac:dyDescent="0.25">
      <c r="A147" s="6">
        <v>144</v>
      </c>
      <c r="B147" s="5" t="s">
        <v>1361</v>
      </c>
      <c r="C147" s="5" t="s">
        <v>1358</v>
      </c>
      <c r="D147" s="5" t="s">
        <v>1359</v>
      </c>
      <c r="E147" s="5" t="s">
        <v>1366</v>
      </c>
      <c r="F147" s="5" t="s">
        <v>1363</v>
      </c>
      <c r="G147" s="6" t="s">
        <v>6</v>
      </c>
      <c r="H147" s="18">
        <v>196</v>
      </c>
    </row>
    <row r="148" spans="1:8" x14ac:dyDescent="0.25">
      <c r="A148" s="6">
        <v>145</v>
      </c>
      <c r="B148" s="5" t="s">
        <v>1367</v>
      </c>
      <c r="C148" s="5" t="s">
        <v>1358</v>
      </c>
      <c r="D148" s="5" t="s">
        <v>1359</v>
      </c>
      <c r="E148" s="5" t="s">
        <v>1368</v>
      </c>
      <c r="F148" s="5" t="s">
        <v>1369</v>
      </c>
      <c r="G148" s="6" t="s">
        <v>6</v>
      </c>
      <c r="H148" s="18">
        <v>73</v>
      </c>
    </row>
    <row r="149" spans="1:8" x14ac:dyDescent="0.25">
      <c r="A149" s="6">
        <v>146</v>
      </c>
      <c r="B149" s="5" t="s">
        <v>1370</v>
      </c>
      <c r="C149" s="5" t="s">
        <v>1358</v>
      </c>
      <c r="D149" s="5" t="s">
        <v>1359</v>
      </c>
      <c r="E149" s="5" t="s">
        <v>1371</v>
      </c>
      <c r="F149" s="5" t="s">
        <v>1372</v>
      </c>
      <c r="G149" s="6" t="s">
        <v>6</v>
      </c>
      <c r="H149" s="18">
        <v>142</v>
      </c>
    </row>
    <row r="150" spans="1:8" x14ac:dyDescent="0.25">
      <c r="A150" s="6">
        <v>147</v>
      </c>
      <c r="B150" s="5" t="s">
        <v>1373</v>
      </c>
      <c r="C150" s="5" t="s">
        <v>1358</v>
      </c>
      <c r="D150" s="5" t="s">
        <v>1359</v>
      </c>
      <c r="E150" s="5" t="s">
        <v>1374</v>
      </c>
      <c r="F150" s="5" t="s">
        <v>1375</v>
      </c>
      <c r="G150" s="6" t="s">
        <v>6</v>
      </c>
      <c r="H150" s="18">
        <v>51</v>
      </c>
    </row>
    <row r="151" spans="1:8" x14ac:dyDescent="0.25">
      <c r="A151" s="6">
        <v>148</v>
      </c>
      <c r="B151" s="5" t="s">
        <v>1376</v>
      </c>
      <c r="C151" s="5" t="s">
        <v>1377</v>
      </c>
      <c r="D151" s="5" t="s">
        <v>1378</v>
      </c>
      <c r="E151" s="5" t="s">
        <v>1379</v>
      </c>
      <c r="F151" s="5" t="s">
        <v>79</v>
      </c>
      <c r="G151" s="6" t="s">
        <v>6</v>
      </c>
      <c r="H151" s="18">
        <v>526</v>
      </c>
    </row>
    <row r="152" spans="1:8" x14ac:dyDescent="0.25">
      <c r="A152" s="6">
        <v>149</v>
      </c>
      <c r="B152" s="5" t="s">
        <v>1380</v>
      </c>
      <c r="C152" s="5" t="s">
        <v>1377</v>
      </c>
      <c r="D152" s="5" t="s">
        <v>1378</v>
      </c>
      <c r="E152" s="5" t="s">
        <v>1381</v>
      </c>
      <c r="F152" s="5" t="s">
        <v>1382</v>
      </c>
      <c r="G152" s="6" t="s">
        <v>6</v>
      </c>
      <c r="H152" s="18">
        <v>210</v>
      </c>
    </row>
    <row r="153" spans="1:8" x14ac:dyDescent="0.25">
      <c r="A153" s="6">
        <v>150</v>
      </c>
      <c r="B153" s="5" t="s">
        <v>1383</v>
      </c>
      <c r="C153" s="5" t="s">
        <v>1377</v>
      </c>
      <c r="D153" s="5" t="s">
        <v>1378</v>
      </c>
      <c r="E153" s="5" t="s">
        <v>493</v>
      </c>
      <c r="F153" s="5" t="s">
        <v>1384</v>
      </c>
      <c r="G153" s="6" t="s">
        <v>6</v>
      </c>
      <c r="H153" s="18">
        <v>504</v>
      </c>
    </row>
    <row r="154" spans="1:8" x14ac:dyDescent="0.25">
      <c r="A154" s="6">
        <v>151</v>
      </c>
      <c r="B154" s="5" t="s">
        <v>1385</v>
      </c>
      <c r="C154" s="5" t="s">
        <v>1377</v>
      </c>
      <c r="D154" s="5" t="s">
        <v>1378</v>
      </c>
      <c r="E154" s="5" t="s">
        <v>314</v>
      </c>
      <c r="F154" s="5" t="s">
        <v>1386</v>
      </c>
      <c r="G154" s="6" t="s">
        <v>6</v>
      </c>
      <c r="H154" s="18">
        <v>360</v>
      </c>
    </row>
    <row r="155" spans="1:8" x14ac:dyDescent="0.25">
      <c r="A155" s="6">
        <v>152</v>
      </c>
      <c r="B155" s="5" t="s">
        <v>1385</v>
      </c>
      <c r="C155" s="5" t="s">
        <v>1377</v>
      </c>
      <c r="D155" s="5" t="s">
        <v>1378</v>
      </c>
      <c r="E155" s="5" t="s">
        <v>1387</v>
      </c>
      <c r="F155" s="5" t="s">
        <v>1386</v>
      </c>
      <c r="G155" s="6" t="s">
        <v>6</v>
      </c>
      <c r="H155" s="18">
        <v>316</v>
      </c>
    </row>
    <row r="156" spans="1:8" x14ac:dyDescent="0.25">
      <c r="A156" s="6">
        <v>153</v>
      </c>
      <c r="B156" s="5" t="s">
        <v>1385</v>
      </c>
      <c r="C156" s="5" t="s">
        <v>1377</v>
      </c>
      <c r="D156" s="5" t="s">
        <v>1378</v>
      </c>
      <c r="E156" s="5" t="s">
        <v>320</v>
      </c>
      <c r="F156" s="5" t="s">
        <v>1386</v>
      </c>
      <c r="G156" s="6" t="s">
        <v>6</v>
      </c>
      <c r="H156" s="18">
        <v>162</v>
      </c>
    </row>
    <row r="157" spans="1:8" x14ac:dyDescent="0.25">
      <c r="A157" s="6">
        <v>154</v>
      </c>
      <c r="B157" s="5" t="s">
        <v>1388</v>
      </c>
      <c r="C157" s="5" t="s">
        <v>1377</v>
      </c>
      <c r="D157" s="5" t="s">
        <v>1378</v>
      </c>
      <c r="E157" s="5" t="s">
        <v>1389</v>
      </c>
      <c r="F157" s="5" t="s">
        <v>1390</v>
      </c>
      <c r="G157" s="6" t="s">
        <v>6</v>
      </c>
      <c r="H157" s="18">
        <v>384</v>
      </c>
    </row>
    <row r="158" spans="1:8" x14ac:dyDescent="0.25">
      <c r="A158" s="6">
        <v>155</v>
      </c>
      <c r="B158" s="5" t="s">
        <v>1391</v>
      </c>
      <c r="C158" s="5" t="s">
        <v>1377</v>
      </c>
      <c r="D158" s="5" t="s">
        <v>1378</v>
      </c>
      <c r="E158" s="5" t="s">
        <v>1392</v>
      </c>
      <c r="F158" s="5" t="s">
        <v>1393</v>
      </c>
      <c r="G158" s="6" t="s">
        <v>6</v>
      </c>
      <c r="H158" s="18">
        <v>76</v>
      </c>
    </row>
    <row r="159" spans="1:8" x14ac:dyDescent="0.25">
      <c r="A159" s="6">
        <v>156</v>
      </c>
      <c r="B159" s="5" t="s">
        <v>1391</v>
      </c>
      <c r="C159" s="5" t="s">
        <v>1377</v>
      </c>
      <c r="D159" s="5" t="s">
        <v>1378</v>
      </c>
      <c r="E159" s="5" t="s">
        <v>1394</v>
      </c>
      <c r="F159" s="5" t="s">
        <v>1393</v>
      </c>
      <c r="G159" s="6" t="s">
        <v>6</v>
      </c>
      <c r="H159" s="18">
        <v>55</v>
      </c>
    </row>
    <row r="160" spans="1:8" x14ac:dyDescent="0.25">
      <c r="A160" s="6">
        <v>157</v>
      </c>
      <c r="B160" s="5" t="s">
        <v>1395</v>
      </c>
      <c r="C160" s="5" t="s">
        <v>1377</v>
      </c>
      <c r="D160" s="5" t="s">
        <v>1378</v>
      </c>
      <c r="E160" s="5" t="s">
        <v>1396</v>
      </c>
      <c r="F160" s="5" t="s">
        <v>1089</v>
      </c>
      <c r="G160" s="6" t="s">
        <v>6</v>
      </c>
      <c r="H160" s="18">
        <v>219</v>
      </c>
    </row>
    <row r="161" spans="1:8" x14ac:dyDescent="0.25">
      <c r="A161" s="6">
        <v>158</v>
      </c>
      <c r="B161" s="5" t="s">
        <v>1397</v>
      </c>
      <c r="C161" s="5" t="s">
        <v>1377</v>
      </c>
      <c r="D161" s="5" t="s">
        <v>1378</v>
      </c>
      <c r="E161" s="5" t="s">
        <v>1398</v>
      </c>
      <c r="F161" s="5" t="s">
        <v>1399</v>
      </c>
      <c r="G161" s="6" t="s">
        <v>6</v>
      </c>
      <c r="H161" s="18">
        <v>121</v>
      </c>
    </row>
    <row r="162" spans="1:8" x14ac:dyDescent="0.25">
      <c r="A162" s="6">
        <v>159</v>
      </c>
      <c r="B162" s="5" t="s">
        <v>1376</v>
      </c>
      <c r="C162" s="5" t="s">
        <v>1377</v>
      </c>
      <c r="D162" s="5" t="s">
        <v>1400</v>
      </c>
      <c r="E162" s="5" t="s">
        <v>1379</v>
      </c>
      <c r="F162" s="5" t="s">
        <v>79</v>
      </c>
      <c r="G162" s="6" t="s">
        <v>6</v>
      </c>
      <c r="H162" s="18">
        <v>35</v>
      </c>
    </row>
    <row r="163" spans="1:8" x14ac:dyDescent="0.25">
      <c r="A163" s="6">
        <v>160</v>
      </c>
      <c r="B163" s="5" t="s">
        <v>1380</v>
      </c>
      <c r="C163" s="5" t="s">
        <v>1377</v>
      </c>
      <c r="D163" s="5" t="s">
        <v>1400</v>
      </c>
      <c r="E163" s="5" t="s">
        <v>1381</v>
      </c>
      <c r="F163" s="5" t="s">
        <v>1382</v>
      </c>
      <c r="G163" s="6" t="s">
        <v>6</v>
      </c>
      <c r="H163" s="18">
        <v>45</v>
      </c>
    </row>
    <row r="164" spans="1:8" x14ac:dyDescent="0.25">
      <c r="A164" s="6">
        <v>161</v>
      </c>
      <c r="B164" s="5" t="s">
        <v>1383</v>
      </c>
      <c r="C164" s="5" t="s">
        <v>1377</v>
      </c>
      <c r="D164" s="5" t="s">
        <v>1400</v>
      </c>
      <c r="E164" s="5" t="s">
        <v>493</v>
      </c>
      <c r="F164" s="5" t="s">
        <v>1384</v>
      </c>
      <c r="G164" s="6" t="s">
        <v>6</v>
      </c>
      <c r="H164" s="18">
        <v>244</v>
      </c>
    </row>
    <row r="165" spans="1:8" x14ac:dyDescent="0.25">
      <c r="A165" s="6">
        <v>162</v>
      </c>
      <c r="B165" s="5" t="s">
        <v>1385</v>
      </c>
      <c r="C165" s="5" t="s">
        <v>1377</v>
      </c>
      <c r="D165" s="5" t="s">
        <v>1400</v>
      </c>
      <c r="E165" s="5" t="s">
        <v>314</v>
      </c>
      <c r="F165" s="5" t="s">
        <v>1386</v>
      </c>
      <c r="G165" s="6" t="s">
        <v>6</v>
      </c>
      <c r="H165" s="18">
        <v>225</v>
      </c>
    </row>
    <row r="166" spans="1:8" x14ac:dyDescent="0.25">
      <c r="A166" s="6">
        <v>163</v>
      </c>
      <c r="B166" s="5" t="s">
        <v>1385</v>
      </c>
      <c r="C166" s="5" t="s">
        <v>1377</v>
      </c>
      <c r="D166" s="5" t="s">
        <v>1400</v>
      </c>
      <c r="E166" s="5" t="s">
        <v>1387</v>
      </c>
      <c r="F166" s="5" t="s">
        <v>1386</v>
      </c>
      <c r="G166" s="6" t="s">
        <v>6</v>
      </c>
      <c r="H166" s="18">
        <v>135</v>
      </c>
    </row>
    <row r="167" spans="1:8" x14ac:dyDescent="0.25">
      <c r="A167" s="6">
        <v>164</v>
      </c>
      <c r="B167" s="5" t="s">
        <v>1385</v>
      </c>
      <c r="C167" s="5" t="s">
        <v>1377</v>
      </c>
      <c r="D167" s="5" t="s">
        <v>1400</v>
      </c>
      <c r="E167" s="5" t="s">
        <v>320</v>
      </c>
      <c r="F167" s="5" t="s">
        <v>1386</v>
      </c>
      <c r="G167" s="6" t="s">
        <v>6</v>
      </c>
      <c r="H167" s="18">
        <v>95</v>
      </c>
    </row>
    <row r="168" spans="1:8" x14ac:dyDescent="0.25">
      <c r="A168" s="6">
        <v>165</v>
      </c>
      <c r="B168" s="5" t="s">
        <v>1388</v>
      </c>
      <c r="C168" s="5" t="s">
        <v>1377</v>
      </c>
      <c r="D168" s="5" t="s">
        <v>1400</v>
      </c>
      <c r="E168" s="5" t="s">
        <v>1389</v>
      </c>
      <c r="F168" s="5" t="s">
        <v>1390</v>
      </c>
      <c r="G168" s="6" t="s">
        <v>6</v>
      </c>
      <c r="H168" s="18">
        <v>114</v>
      </c>
    </row>
    <row r="169" spans="1:8" x14ac:dyDescent="0.25">
      <c r="A169" s="6">
        <v>166</v>
      </c>
      <c r="B169" s="5" t="s">
        <v>1391</v>
      </c>
      <c r="C169" s="5" t="s">
        <v>1377</v>
      </c>
      <c r="D169" s="5" t="s">
        <v>1400</v>
      </c>
      <c r="E169" s="5" t="s">
        <v>1392</v>
      </c>
      <c r="F169" s="5" t="s">
        <v>1393</v>
      </c>
      <c r="G169" s="6" t="s">
        <v>6</v>
      </c>
      <c r="H169" s="18">
        <v>23</v>
      </c>
    </row>
    <row r="170" spans="1:8" x14ac:dyDescent="0.25">
      <c r="A170" s="6">
        <v>167</v>
      </c>
      <c r="B170" s="5" t="s">
        <v>1391</v>
      </c>
      <c r="C170" s="5" t="s">
        <v>1377</v>
      </c>
      <c r="D170" s="5" t="s">
        <v>1400</v>
      </c>
      <c r="E170" s="5" t="s">
        <v>1394</v>
      </c>
      <c r="F170" s="5" t="s">
        <v>1393</v>
      </c>
      <c r="G170" s="6" t="s">
        <v>6</v>
      </c>
      <c r="H170" s="18">
        <v>24</v>
      </c>
    </row>
    <row r="171" spans="1:8" x14ac:dyDescent="0.25">
      <c r="A171" s="6">
        <v>168</v>
      </c>
      <c r="B171" s="5" t="s">
        <v>1395</v>
      </c>
      <c r="C171" s="5" t="s">
        <v>1377</v>
      </c>
      <c r="D171" s="5" t="s">
        <v>1400</v>
      </c>
      <c r="E171" s="5" t="s">
        <v>1396</v>
      </c>
      <c r="F171" s="5" t="s">
        <v>1089</v>
      </c>
      <c r="G171" s="6" t="s">
        <v>6</v>
      </c>
      <c r="H171" s="18">
        <v>72</v>
      </c>
    </row>
    <row r="172" spans="1:8" x14ac:dyDescent="0.25">
      <c r="A172" s="6">
        <v>169</v>
      </c>
      <c r="B172" s="5" t="s">
        <v>1397</v>
      </c>
      <c r="C172" s="5" t="s">
        <v>1377</v>
      </c>
      <c r="D172" s="5" t="s">
        <v>1400</v>
      </c>
      <c r="E172" s="5" t="s">
        <v>1398</v>
      </c>
      <c r="F172" s="5" t="s">
        <v>1399</v>
      </c>
      <c r="G172" s="6" t="s">
        <v>6</v>
      </c>
      <c r="H172" s="18">
        <v>175</v>
      </c>
    </row>
    <row r="173" spans="1:8" x14ac:dyDescent="0.25">
      <c r="A173" s="6">
        <v>170</v>
      </c>
      <c r="B173" s="5" t="s">
        <v>1401</v>
      </c>
      <c r="C173" s="5" t="s">
        <v>1402</v>
      </c>
      <c r="D173" s="5" t="s">
        <v>1403</v>
      </c>
      <c r="E173" s="5" t="s">
        <v>1404</v>
      </c>
      <c r="F173" s="5" t="s">
        <v>79</v>
      </c>
      <c r="G173" s="6" t="s">
        <v>6</v>
      </c>
      <c r="H173" s="18">
        <v>539</v>
      </c>
    </row>
    <row r="174" spans="1:8" x14ac:dyDescent="0.25">
      <c r="A174" s="6">
        <v>171</v>
      </c>
      <c r="B174" s="5" t="s">
        <v>1405</v>
      </c>
      <c r="C174" s="5" t="s">
        <v>1402</v>
      </c>
      <c r="D174" s="5" t="s">
        <v>1403</v>
      </c>
      <c r="E174" s="5" t="s">
        <v>1406</v>
      </c>
      <c r="F174" s="5" t="s">
        <v>1386</v>
      </c>
      <c r="G174" s="6" t="s">
        <v>6</v>
      </c>
      <c r="H174" s="18">
        <v>208</v>
      </c>
    </row>
    <row r="175" spans="1:8" x14ac:dyDescent="0.25">
      <c r="A175" s="6">
        <v>172</v>
      </c>
      <c r="B175" s="5" t="s">
        <v>1407</v>
      </c>
      <c r="C175" s="5" t="s">
        <v>1402</v>
      </c>
      <c r="D175" s="5" t="s">
        <v>1403</v>
      </c>
      <c r="E175" s="5" t="s">
        <v>1408</v>
      </c>
      <c r="F175" s="5" t="s">
        <v>1409</v>
      </c>
      <c r="G175" s="6" t="s">
        <v>6</v>
      </c>
      <c r="H175" s="18">
        <v>282</v>
      </c>
    </row>
    <row r="176" spans="1:8" x14ac:dyDescent="0.25">
      <c r="A176" s="6">
        <v>173</v>
      </c>
      <c r="B176" s="5" t="s">
        <v>1410</v>
      </c>
      <c r="C176" s="5" t="s">
        <v>1402</v>
      </c>
      <c r="D176" s="5" t="s">
        <v>1403</v>
      </c>
      <c r="E176" s="5" t="s">
        <v>1411</v>
      </c>
      <c r="F176" s="5" t="s">
        <v>1044</v>
      </c>
      <c r="G176" s="6" t="s">
        <v>6</v>
      </c>
      <c r="H176" s="18">
        <v>252</v>
      </c>
    </row>
    <row r="177" spans="1:8" x14ac:dyDescent="0.25">
      <c r="A177" s="6">
        <v>174</v>
      </c>
      <c r="B177" s="5" t="s">
        <v>1412</v>
      </c>
      <c r="C177" s="5" t="s">
        <v>1402</v>
      </c>
      <c r="D177" s="5" t="s">
        <v>1403</v>
      </c>
      <c r="E177" s="5" t="s">
        <v>1413</v>
      </c>
      <c r="F177" s="5" t="s">
        <v>79</v>
      </c>
      <c r="G177" s="6" t="s">
        <v>6</v>
      </c>
      <c r="H177" s="18">
        <v>77</v>
      </c>
    </row>
    <row r="178" spans="1:8" x14ac:dyDescent="0.25">
      <c r="A178" s="6">
        <v>175</v>
      </c>
      <c r="B178" s="5" t="s">
        <v>1414</v>
      </c>
      <c r="C178" s="5" t="s">
        <v>1402</v>
      </c>
      <c r="D178" s="5" t="s">
        <v>1403</v>
      </c>
      <c r="E178" s="5" t="s">
        <v>1415</v>
      </c>
      <c r="F178" s="5" t="s">
        <v>1416</v>
      </c>
      <c r="G178" s="6" t="s">
        <v>6</v>
      </c>
      <c r="H178" s="18">
        <v>201</v>
      </c>
    </row>
    <row r="179" spans="1:8" x14ac:dyDescent="0.25">
      <c r="A179" s="6">
        <v>176</v>
      </c>
      <c r="B179" s="5" t="s">
        <v>1417</v>
      </c>
      <c r="C179" s="5" t="s">
        <v>1418</v>
      </c>
      <c r="D179" s="5" t="s">
        <v>1419</v>
      </c>
      <c r="E179" s="5" t="s">
        <v>1420</v>
      </c>
      <c r="F179" s="5" t="s">
        <v>1421</v>
      </c>
      <c r="G179" s="6" t="s">
        <v>6</v>
      </c>
      <c r="H179" s="18">
        <v>42</v>
      </c>
    </row>
    <row r="180" spans="1:8" x14ac:dyDescent="0.25">
      <c r="A180" s="6">
        <v>177</v>
      </c>
      <c r="B180" s="5" t="s">
        <v>1422</v>
      </c>
      <c r="C180" s="5" t="s">
        <v>1418</v>
      </c>
      <c r="D180" s="5" t="s">
        <v>1419</v>
      </c>
      <c r="E180" s="5" t="s">
        <v>1423</v>
      </c>
      <c r="F180" s="5" t="s">
        <v>1424</v>
      </c>
      <c r="G180" s="6" t="s">
        <v>6</v>
      </c>
      <c r="H180" s="18">
        <v>7</v>
      </c>
    </row>
    <row r="181" spans="1:8" x14ac:dyDescent="0.25">
      <c r="A181" s="6">
        <v>178</v>
      </c>
      <c r="B181" s="5" t="s">
        <v>1425</v>
      </c>
      <c r="C181" s="5" t="s">
        <v>1418</v>
      </c>
      <c r="D181" s="5" t="s">
        <v>1419</v>
      </c>
      <c r="E181" s="5" t="s">
        <v>1426</v>
      </c>
      <c r="F181" s="5" t="s">
        <v>1427</v>
      </c>
      <c r="G181" s="6" t="s">
        <v>6</v>
      </c>
      <c r="H181" s="18">
        <v>5</v>
      </c>
    </row>
    <row r="182" spans="1:8" x14ac:dyDescent="0.25">
      <c r="A182" s="6">
        <v>179</v>
      </c>
      <c r="B182" s="5" t="s">
        <v>1428</v>
      </c>
      <c r="C182" s="5" t="s">
        <v>1418</v>
      </c>
      <c r="D182" s="5" t="s">
        <v>1419</v>
      </c>
      <c r="E182" s="5" t="s">
        <v>263</v>
      </c>
      <c r="F182" s="5" t="s">
        <v>1429</v>
      </c>
      <c r="G182" s="6" t="s">
        <v>6</v>
      </c>
      <c r="H182" s="18">
        <v>5</v>
      </c>
    </row>
    <row r="183" spans="1:8" x14ac:dyDescent="0.25">
      <c r="A183" s="6">
        <v>180</v>
      </c>
      <c r="B183" s="5" t="s">
        <v>1430</v>
      </c>
      <c r="C183" s="5" t="s">
        <v>1418</v>
      </c>
      <c r="D183" s="5" t="s">
        <v>1419</v>
      </c>
      <c r="E183" s="5" t="s">
        <v>1431</v>
      </c>
      <c r="F183" s="5" t="s">
        <v>1432</v>
      </c>
      <c r="G183" s="6" t="s">
        <v>6</v>
      </c>
      <c r="H183" s="18">
        <v>1</v>
      </c>
    </row>
    <row r="184" spans="1:8" x14ac:dyDescent="0.25">
      <c r="A184" s="6">
        <v>181</v>
      </c>
      <c r="B184" s="5" t="s">
        <v>1433</v>
      </c>
      <c r="C184" s="5" t="s">
        <v>1418</v>
      </c>
      <c r="D184" s="5" t="s">
        <v>1434</v>
      </c>
      <c r="E184" s="5" t="s">
        <v>1435</v>
      </c>
      <c r="F184" s="5" t="s">
        <v>1436</v>
      </c>
      <c r="G184" s="6" t="s">
        <v>6</v>
      </c>
      <c r="H184" s="18">
        <v>5</v>
      </c>
    </row>
    <row r="185" spans="1:8" x14ac:dyDescent="0.25">
      <c r="A185" s="6">
        <v>182</v>
      </c>
      <c r="B185" s="5" t="s">
        <v>1437</v>
      </c>
      <c r="C185" s="5" t="s">
        <v>1418</v>
      </c>
      <c r="D185" s="5" t="s">
        <v>1434</v>
      </c>
      <c r="E185" s="5" t="s">
        <v>1011</v>
      </c>
      <c r="F185" s="5" t="s">
        <v>1424</v>
      </c>
      <c r="G185" s="6" t="s">
        <v>6</v>
      </c>
      <c r="H185" s="18">
        <v>4</v>
      </c>
    </row>
    <row r="186" spans="1:8" x14ac:dyDescent="0.25">
      <c r="A186" s="6">
        <v>183</v>
      </c>
      <c r="B186" s="5" t="s">
        <v>1438</v>
      </c>
      <c r="C186" s="5" t="s">
        <v>1439</v>
      </c>
      <c r="D186" s="5" t="s">
        <v>1440</v>
      </c>
      <c r="E186" s="5" t="s">
        <v>1441</v>
      </c>
      <c r="F186" s="5" t="s">
        <v>1442</v>
      </c>
      <c r="G186" s="6" t="s">
        <v>6</v>
      </c>
      <c r="H186" s="18">
        <v>306</v>
      </c>
    </row>
    <row r="187" spans="1:8" x14ac:dyDescent="0.25">
      <c r="A187" s="6">
        <v>184</v>
      </c>
      <c r="B187" s="5" t="s">
        <v>1443</v>
      </c>
      <c r="C187" s="5" t="s">
        <v>1439</v>
      </c>
      <c r="D187" s="5" t="s">
        <v>1440</v>
      </c>
      <c r="E187" s="5" t="s">
        <v>1441</v>
      </c>
      <c r="F187" s="5" t="s">
        <v>1444</v>
      </c>
      <c r="G187" s="6" t="s">
        <v>6</v>
      </c>
      <c r="H187" s="18">
        <v>9</v>
      </c>
    </row>
    <row r="188" spans="1:8" x14ac:dyDescent="0.25">
      <c r="A188" s="6">
        <v>185</v>
      </c>
      <c r="B188" s="5" t="s">
        <v>1445</v>
      </c>
      <c r="C188" s="5" t="s">
        <v>1439</v>
      </c>
      <c r="D188" s="5" t="s">
        <v>1440</v>
      </c>
      <c r="E188" s="5" t="s">
        <v>1446</v>
      </c>
      <c r="F188" s="5" t="s">
        <v>1447</v>
      </c>
      <c r="G188" s="6" t="s">
        <v>6</v>
      </c>
      <c r="H188" s="18">
        <v>13</v>
      </c>
    </row>
    <row r="189" spans="1:8" x14ac:dyDescent="0.25">
      <c r="A189" s="6">
        <v>186</v>
      </c>
      <c r="B189" s="5" t="s">
        <v>1448</v>
      </c>
      <c r="C189" s="5" t="s">
        <v>1439</v>
      </c>
      <c r="D189" s="5" t="s">
        <v>1440</v>
      </c>
      <c r="E189" s="5" t="s">
        <v>1157</v>
      </c>
      <c r="F189" s="5" t="s">
        <v>1449</v>
      </c>
      <c r="G189" s="6" t="s">
        <v>6</v>
      </c>
      <c r="H189" s="18">
        <v>6</v>
      </c>
    </row>
    <row r="190" spans="1:8" x14ac:dyDescent="0.25">
      <c r="A190" s="6">
        <v>187</v>
      </c>
      <c r="B190" s="5" t="s">
        <v>1450</v>
      </c>
      <c r="C190" s="5" t="s">
        <v>1439</v>
      </c>
      <c r="D190" s="5" t="s">
        <v>1451</v>
      </c>
      <c r="E190" s="5" t="s">
        <v>1452</v>
      </c>
      <c r="F190" s="5" t="s">
        <v>1453</v>
      </c>
      <c r="G190" s="6" t="s">
        <v>6</v>
      </c>
      <c r="H190" s="18">
        <v>24</v>
      </c>
    </row>
    <row r="191" spans="1:8" x14ac:dyDescent="0.25">
      <c r="A191" s="6">
        <v>188</v>
      </c>
      <c r="B191" s="5" t="s">
        <v>1454</v>
      </c>
      <c r="C191" s="5" t="s">
        <v>1439</v>
      </c>
      <c r="D191" s="5" t="s">
        <v>1451</v>
      </c>
      <c r="E191" s="5" t="s">
        <v>1455</v>
      </c>
      <c r="F191" s="5" t="s">
        <v>1456</v>
      </c>
      <c r="G191" s="6" t="s">
        <v>6</v>
      </c>
      <c r="H191" s="18">
        <v>47</v>
      </c>
    </row>
    <row r="192" spans="1:8" x14ac:dyDescent="0.25">
      <c r="A192" s="6">
        <v>189</v>
      </c>
      <c r="B192" s="5" t="s">
        <v>1457</v>
      </c>
      <c r="C192" s="5" t="s">
        <v>1439</v>
      </c>
      <c r="D192" s="5" t="s">
        <v>1451</v>
      </c>
      <c r="E192" s="5" t="s">
        <v>1458</v>
      </c>
      <c r="F192" s="5" t="s">
        <v>1459</v>
      </c>
      <c r="G192" s="6" t="s">
        <v>6</v>
      </c>
      <c r="H192" s="18">
        <v>15</v>
      </c>
    </row>
    <row r="193" spans="1:8" x14ac:dyDescent="0.25">
      <c r="A193" s="6">
        <v>190</v>
      </c>
      <c r="B193" s="5" t="s">
        <v>1460</v>
      </c>
      <c r="C193" s="5" t="s">
        <v>1439</v>
      </c>
      <c r="D193" s="5" t="s">
        <v>1451</v>
      </c>
      <c r="E193" s="5" t="s">
        <v>1461</v>
      </c>
      <c r="F193" s="5" t="s">
        <v>1329</v>
      </c>
      <c r="G193" s="6" t="s">
        <v>6</v>
      </c>
      <c r="H193" s="18">
        <v>5</v>
      </c>
    </row>
  </sheetData>
  <autoFilter ref="A3:H193"/>
  <conditionalFormatting sqref="G4:G193">
    <cfRule type="containsText" dxfId="9" priority="1">
      <formula>NOT(ISERROR(SEARCH("ไม่ผ่าน",G4)))</formula>
    </cfRule>
    <cfRule type="containsText" dxfId="10" priority="2">
      <formula>NOT(ISERROR(SEARCH("ผ่าน",G4)))</formula>
    </cfRule>
    <cfRule type="containsText" dxfId="11" priority="3">
      <formula>NOT(ISERROR(SEARCH("ข้าม",G4)))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8" customWidth="1"/>
    <col min="4" max="4" width="10" customWidth="1"/>
    <col min="5" max="5" width="26" customWidth="1"/>
    <col min="6" max="7" width="46" customWidth="1"/>
    <col min="8" max="8" width="30" customWidth="1"/>
    <col min="9" max="9" width="13" customWidth="1"/>
    <col min="10" max="10" width="14" customWidth="1"/>
    <col min="11" max="11" width="13" customWidth="1"/>
  </cols>
  <sheetData>
    <row r="1" spans="1:1" x14ac:dyDescent="0.25">
      <c r="A1" s="17" t="s">
        <v>1462</v>
      </c>
    </row>
    <row r="2" ht="30" customHeight="1" spans="1:11" x14ac:dyDescent="0.25">
      <c r="A2" s="19" t="s">
        <v>1463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ht="30" customHeight="1" spans="1:11" x14ac:dyDescent="0.25">
      <c r="A4" s="4" t="s">
        <v>48</v>
      </c>
      <c r="B4" s="4" t="s">
        <v>49</v>
      </c>
      <c r="C4" s="4" t="s">
        <v>1464</v>
      </c>
      <c r="D4" s="4" t="s">
        <v>1465</v>
      </c>
      <c r="E4" s="4" t="s">
        <v>1466</v>
      </c>
      <c r="F4" s="4" t="s">
        <v>1467</v>
      </c>
      <c r="G4" s="4" t="s">
        <v>53</v>
      </c>
      <c r="H4" s="4" t="s">
        <v>1468</v>
      </c>
      <c r="I4" s="4" t="s">
        <v>18</v>
      </c>
      <c r="J4" s="4" t="s">
        <v>1469</v>
      </c>
      <c r="K4" s="4" t="s">
        <v>1470</v>
      </c>
    </row>
    <row r="5" spans="1:11" x14ac:dyDescent="0.25">
      <c r="A5" s="6">
        <v>1</v>
      </c>
      <c r="B5" s="5" t="s">
        <v>1471</v>
      </c>
      <c r="C5" s="5" t="s">
        <v>1472</v>
      </c>
      <c r="D5" s="5" t="s">
        <v>42</v>
      </c>
      <c r="E5" s="5" t="s">
        <v>243</v>
      </c>
      <c r="F5" s="5" t="s">
        <v>1473</v>
      </c>
      <c r="G5" s="5" t="s">
        <v>1474</v>
      </c>
      <c r="H5" s="20" t="s">
        <v>19</v>
      </c>
      <c r="I5" s="21" t="s">
        <v>21</v>
      </c>
      <c r="J5" s="20" t="s">
        <v>19</v>
      </c>
      <c r="K5" s="20" t="s">
        <v>19</v>
      </c>
    </row>
    <row r="6" spans="1:11" x14ac:dyDescent="0.25">
      <c r="A6" s="6">
        <v>2</v>
      </c>
      <c r="B6" s="5" t="s">
        <v>1475</v>
      </c>
      <c r="C6" s="5" t="s">
        <v>1472</v>
      </c>
      <c r="D6" s="5" t="s">
        <v>43</v>
      </c>
      <c r="E6" s="5" t="s">
        <v>1476</v>
      </c>
      <c r="F6" s="5" t="s">
        <v>1477</v>
      </c>
      <c r="G6" s="5" t="s">
        <v>1478</v>
      </c>
      <c r="H6" s="20" t="s">
        <v>19</v>
      </c>
      <c r="I6" s="21" t="s">
        <v>21</v>
      </c>
      <c r="J6" s="20" t="s">
        <v>19</v>
      </c>
      <c r="K6" s="20" t="s">
        <v>19</v>
      </c>
    </row>
    <row r="7" spans="1:11" x14ac:dyDescent="0.25">
      <c r="A7" s="6">
        <v>3</v>
      </c>
      <c r="B7" s="5" t="s">
        <v>1479</v>
      </c>
      <c r="C7" s="5" t="s">
        <v>1480</v>
      </c>
      <c r="D7" s="5" t="s">
        <v>42</v>
      </c>
      <c r="E7" s="5" t="s">
        <v>1481</v>
      </c>
      <c r="F7" s="5" t="s">
        <v>1482</v>
      </c>
      <c r="G7" s="5" t="s">
        <v>1483</v>
      </c>
      <c r="H7" s="20" t="s">
        <v>19</v>
      </c>
      <c r="I7" s="21" t="s">
        <v>21</v>
      </c>
      <c r="J7" s="20" t="s">
        <v>19</v>
      </c>
      <c r="K7" s="20" t="s">
        <v>19</v>
      </c>
    </row>
    <row r="8" spans="1:11" x14ac:dyDescent="0.25">
      <c r="A8" s="6">
        <v>4</v>
      </c>
      <c r="B8" s="5" t="s">
        <v>1484</v>
      </c>
      <c r="C8" s="5" t="s">
        <v>1480</v>
      </c>
      <c r="D8" s="5" t="s">
        <v>43</v>
      </c>
      <c r="E8" s="5" t="s">
        <v>1485</v>
      </c>
      <c r="F8" s="5" t="s">
        <v>1486</v>
      </c>
      <c r="G8" s="5" t="s">
        <v>1487</v>
      </c>
      <c r="H8" s="20" t="s">
        <v>19</v>
      </c>
      <c r="I8" s="21" t="s">
        <v>21</v>
      </c>
      <c r="J8" s="20" t="s">
        <v>19</v>
      </c>
      <c r="K8" s="20" t="s">
        <v>19</v>
      </c>
    </row>
    <row r="9" spans="1:11" x14ac:dyDescent="0.25">
      <c r="A9" s="6">
        <v>5</v>
      </c>
      <c r="B9" s="5" t="s">
        <v>1488</v>
      </c>
      <c r="C9" s="5" t="s">
        <v>1480</v>
      </c>
      <c r="D9" s="5" t="s">
        <v>43</v>
      </c>
      <c r="E9" s="5" t="s">
        <v>1489</v>
      </c>
      <c r="F9" s="5" t="s">
        <v>1490</v>
      </c>
      <c r="G9" s="5" t="s">
        <v>1491</v>
      </c>
      <c r="H9" s="20" t="s">
        <v>19</v>
      </c>
      <c r="I9" s="21" t="s">
        <v>21</v>
      </c>
      <c r="J9" s="20" t="s">
        <v>19</v>
      </c>
      <c r="K9" s="20" t="s">
        <v>19</v>
      </c>
    </row>
    <row r="10" spans="1:11" x14ac:dyDescent="0.25">
      <c r="A10" s="6">
        <v>6</v>
      </c>
      <c r="B10" s="5" t="s">
        <v>1492</v>
      </c>
      <c r="C10" s="5" t="s">
        <v>1493</v>
      </c>
      <c r="D10" s="5" t="s">
        <v>42</v>
      </c>
      <c r="E10" s="5" t="s">
        <v>1494</v>
      </c>
      <c r="F10" s="5" t="s">
        <v>1495</v>
      </c>
      <c r="G10" s="5" t="s">
        <v>1496</v>
      </c>
      <c r="H10" s="20" t="s">
        <v>19</v>
      </c>
      <c r="I10" s="21" t="s">
        <v>21</v>
      </c>
      <c r="J10" s="20" t="s">
        <v>19</v>
      </c>
      <c r="K10" s="20" t="s">
        <v>19</v>
      </c>
    </row>
    <row r="11" spans="1:11" x14ac:dyDescent="0.25">
      <c r="A11" s="6">
        <v>7</v>
      </c>
      <c r="B11" s="5" t="s">
        <v>1497</v>
      </c>
      <c r="C11" s="5" t="s">
        <v>1493</v>
      </c>
      <c r="D11" s="5" t="s">
        <v>42</v>
      </c>
      <c r="E11" s="5" t="s">
        <v>1498</v>
      </c>
      <c r="F11" s="5" t="s">
        <v>1499</v>
      </c>
      <c r="G11" s="5" t="s">
        <v>1500</v>
      </c>
      <c r="H11" s="20" t="s">
        <v>19</v>
      </c>
      <c r="I11" s="21" t="s">
        <v>21</v>
      </c>
      <c r="J11" s="20" t="s">
        <v>19</v>
      </c>
      <c r="K11" s="20" t="s">
        <v>19</v>
      </c>
    </row>
    <row r="12" spans="1:11" x14ac:dyDescent="0.25">
      <c r="A12" s="6">
        <v>8</v>
      </c>
      <c r="B12" s="5" t="s">
        <v>1501</v>
      </c>
      <c r="C12" s="5" t="s">
        <v>1493</v>
      </c>
      <c r="D12" s="5" t="s">
        <v>42</v>
      </c>
      <c r="E12" s="5" t="s">
        <v>1498</v>
      </c>
      <c r="F12" s="5" t="s">
        <v>1502</v>
      </c>
      <c r="G12" s="5" t="s">
        <v>1503</v>
      </c>
      <c r="H12" s="20" t="s">
        <v>19</v>
      </c>
      <c r="I12" s="21" t="s">
        <v>21</v>
      </c>
      <c r="J12" s="20" t="s">
        <v>19</v>
      </c>
      <c r="K12" s="20" t="s">
        <v>19</v>
      </c>
    </row>
    <row r="13" spans="1:11" x14ac:dyDescent="0.25">
      <c r="A13" s="6">
        <v>9</v>
      </c>
      <c r="B13" s="5" t="s">
        <v>1504</v>
      </c>
      <c r="C13" s="5" t="s">
        <v>1493</v>
      </c>
      <c r="D13" s="5" t="s">
        <v>43</v>
      </c>
      <c r="E13" s="5" t="s">
        <v>1498</v>
      </c>
      <c r="F13" s="5" t="s">
        <v>1505</v>
      </c>
      <c r="G13" s="5" t="s">
        <v>1506</v>
      </c>
      <c r="H13" s="20" t="s">
        <v>19</v>
      </c>
      <c r="I13" s="21" t="s">
        <v>21</v>
      </c>
      <c r="J13" s="20" t="s">
        <v>19</v>
      </c>
      <c r="K13" s="20" t="s">
        <v>19</v>
      </c>
    </row>
    <row r="14" spans="1:11" x14ac:dyDescent="0.25">
      <c r="A14" s="6">
        <v>10</v>
      </c>
      <c r="B14" s="5" t="s">
        <v>1507</v>
      </c>
      <c r="C14" s="5" t="s">
        <v>1493</v>
      </c>
      <c r="D14" s="5" t="s">
        <v>42</v>
      </c>
      <c r="E14" s="5" t="s">
        <v>1508</v>
      </c>
      <c r="F14" s="5" t="s">
        <v>1509</v>
      </c>
      <c r="G14" s="5" t="s">
        <v>1510</v>
      </c>
      <c r="H14" s="20" t="s">
        <v>19</v>
      </c>
      <c r="I14" s="21" t="s">
        <v>21</v>
      </c>
      <c r="J14" s="20" t="s">
        <v>19</v>
      </c>
      <c r="K14" s="20" t="s">
        <v>19</v>
      </c>
    </row>
    <row r="15" spans="1:11" x14ac:dyDescent="0.25">
      <c r="A15" s="6">
        <v>11</v>
      </c>
      <c r="B15" s="5" t="s">
        <v>1511</v>
      </c>
      <c r="C15" s="5" t="s">
        <v>1512</v>
      </c>
      <c r="D15" s="5" t="s">
        <v>42</v>
      </c>
      <c r="E15" s="5" t="s">
        <v>1513</v>
      </c>
      <c r="F15" s="5" t="s">
        <v>1514</v>
      </c>
      <c r="G15" s="5" t="s">
        <v>1515</v>
      </c>
      <c r="H15" s="20" t="s">
        <v>19</v>
      </c>
      <c r="I15" s="21" t="s">
        <v>21</v>
      </c>
      <c r="J15" s="20" t="s">
        <v>19</v>
      </c>
      <c r="K15" s="20" t="s">
        <v>19</v>
      </c>
    </row>
    <row r="16" spans="1:11" x14ac:dyDescent="0.25">
      <c r="A16" s="6">
        <v>12</v>
      </c>
      <c r="B16" s="5" t="s">
        <v>1516</v>
      </c>
      <c r="C16" s="5" t="s">
        <v>1512</v>
      </c>
      <c r="D16" s="5" t="s">
        <v>42</v>
      </c>
      <c r="E16" s="5" t="s">
        <v>1517</v>
      </c>
      <c r="F16" s="5" t="s">
        <v>1518</v>
      </c>
      <c r="G16" s="5" t="s">
        <v>1519</v>
      </c>
      <c r="H16" s="20" t="s">
        <v>19</v>
      </c>
      <c r="I16" s="21" t="s">
        <v>21</v>
      </c>
      <c r="J16" s="20" t="s">
        <v>19</v>
      </c>
      <c r="K16" s="20" t="s">
        <v>19</v>
      </c>
    </row>
    <row r="17" spans="1:11" x14ac:dyDescent="0.25">
      <c r="A17" s="6">
        <v>13</v>
      </c>
      <c r="B17" s="5" t="s">
        <v>1520</v>
      </c>
      <c r="C17" s="5" t="s">
        <v>1512</v>
      </c>
      <c r="D17" s="5" t="s">
        <v>43</v>
      </c>
      <c r="E17" s="5" t="s">
        <v>1517</v>
      </c>
      <c r="F17" s="5" t="s">
        <v>1521</v>
      </c>
      <c r="G17" s="5" t="s">
        <v>1522</v>
      </c>
      <c r="H17" s="20" t="s">
        <v>19</v>
      </c>
      <c r="I17" s="21" t="s">
        <v>21</v>
      </c>
      <c r="J17" s="20" t="s">
        <v>19</v>
      </c>
      <c r="K17" s="20" t="s">
        <v>19</v>
      </c>
    </row>
    <row r="18" spans="1:11" x14ac:dyDescent="0.25">
      <c r="A18" s="6">
        <v>14</v>
      </c>
      <c r="B18" s="5" t="s">
        <v>1523</v>
      </c>
      <c r="C18" s="5" t="s">
        <v>1524</v>
      </c>
      <c r="D18" s="5" t="s">
        <v>42</v>
      </c>
      <c r="E18" s="5" t="s">
        <v>1525</v>
      </c>
      <c r="F18" s="5" t="s">
        <v>1526</v>
      </c>
      <c r="G18" s="5" t="s">
        <v>1527</v>
      </c>
      <c r="H18" s="20" t="s">
        <v>19</v>
      </c>
      <c r="I18" s="21" t="s">
        <v>21</v>
      </c>
      <c r="J18" s="20" t="s">
        <v>19</v>
      </c>
      <c r="K18" s="20" t="s">
        <v>19</v>
      </c>
    </row>
    <row r="19" spans="1:11" x14ac:dyDescent="0.25">
      <c r="A19" s="6">
        <v>15</v>
      </c>
      <c r="B19" s="5" t="s">
        <v>1528</v>
      </c>
      <c r="C19" s="5" t="s">
        <v>1529</v>
      </c>
      <c r="D19" s="5" t="s">
        <v>42</v>
      </c>
      <c r="E19" s="5" t="s">
        <v>1530</v>
      </c>
      <c r="F19" s="5" t="s">
        <v>1531</v>
      </c>
      <c r="G19" s="5" t="s">
        <v>1532</v>
      </c>
      <c r="H19" s="20" t="s">
        <v>19</v>
      </c>
      <c r="I19" s="21" t="s">
        <v>21</v>
      </c>
      <c r="J19" s="20" t="s">
        <v>19</v>
      </c>
      <c r="K19" s="20" t="s">
        <v>19</v>
      </c>
    </row>
    <row r="20" spans="1:11" x14ac:dyDescent="0.25">
      <c r="A20" s="6">
        <v>16</v>
      </c>
      <c r="B20" s="5" t="s">
        <v>1533</v>
      </c>
      <c r="C20" s="5" t="s">
        <v>1534</v>
      </c>
      <c r="D20" s="5" t="s">
        <v>42</v>
      </c>
      <c r="E20" s="5" t="s">
        <v>1535</v>
      </c>
      <c r="F20" s="5" t="s">
        <v>1536</v>
      </c>
      <c r="G20" s="5" t="s">
        <v>1537</v>
      </c>
      <c r="H20" s="20" t="s">
        <v>19</v>
      </c>
      <c r="I20" s="21" t="s">
        <v>21</v>
      </c>
      <c r="J20" s="20" t="s">
        <v>19</v>
      </c>
      <c r="K20" s="20" t="s">
        <v>19</v>
      </c>
    </row>
    <row r="21" spans="1:11" x14ac:dyDescent="0.25">
      <c r="A21" s="6">
        <v>17</v>
      </c>
      <c r="B21" s="5" t="s">
        <v>1538</v>
      </c>
      <c r="C21" s="5" t="s">
        <v>1539</v>
      </c>
      <c r="D21" s="5" t="s">
        <v>43</v>
      </c>
      <c r="E21" s="5" t="s">
        <v>1540</v>
      </c>
      <c r="F21" s="5" t="s">
        <v>1541</v>
      </c>
      <c r="G21" s="5" t="s">
        <v>1542</v>
      </c>
      <c r="H21" s="20" t="s">
        <v>19</v>
      </c>
      <c r="I21" s="21" t="s">
        <v>21</v>
      </c>
      <c r="J21" s="20" t="s">
        <v>19</v>
      </c>
      <c r="K21" s="20" t="s">
        <v>19</v>
      </c>
    </row>
    <row r="22" spans="1:11" x14ac:dyDescent="0.25">
      <c r="A22" s="6">
        <v>18</v>
      </c>
      <c r="B22" s="5" t="s">
        <v>1543</v>
      </c>
      <c r="C22" s="5" t="s">
        <v>1544</v>
      </c>
      <c r="D22" s="5" t="s">
        <v>43</v>
      </c>
      <c r="E22" s="5" t="s">
        <v>1545</v>
      </c>
      <c r="F22" s="5" t="s">
        <v>1546</v>
      </c>
      <c r="G22" s="5" t="s">
        <v>1547</v>
      </c>
      <c r="H22" s="20" t="s">
        <v>19</v>
      </c>
      <c r="I22" s="21" t="s">
        <v>21</v>
      </c>
      <c r="J22" s="20" t="s">
        <v>19</v>
      </c>
      <c r="K22" s="20" t="s">
        <v>19</v>
      </c>
    </row>
    <row r="23" spans="1:11" x14ac:dyDescent="0.25">
      <c r="A23" s="6">
        <v>19</v>
      </c>
      <c r="B23" s="5" t="s">
        <v>1548</v>
      </c>
      <c r="C23" s="5" t="s">
        <v>1549</v>
      </c>
      <c r="D23" s="5" t="s">
        <v>43</v>
      </c>
      <c r="E23" s="5" t="s">
        <v>1550</v>
      </c>
      <c r="F23" s="5" t="s">
        <v>1551</v>
      </c>
      <c r="G23" s="5" t="s">
        <v>1552</v>
      </c>
      <c r="H23" s="20" t="s">
        <v>19</v>
      </c>
      <c r="I23" s="21" t="s">
        <v>21</v>
      </c>
      <c r="J23" s="20" t="s">
        <v>19</v>
      </c>
      <c r="K23" s="20" t="s">
        <v>19</v>
      </c>
    </row>
    <row r="24" spans="1:11" x14ac:dyDescent="0.25">
      <c r="A24" s="6">
        <v>20</v>
      </c>
      <c r="B24" s="5" t="s">
        <v>1553</v>
      </c>
      <c r="C24" s="5" t="s">
        <v>1554</v>
      </c>
      <c r="D24" s="5" t="s">
        <v>44</v>
      </c>
      <c r="E24" s="5" t="s">
        <v>1517</v>
      </c>
      <c r="F24" s="5" t="s">
        <v>1555</v>
      </c>
      <c r="G24" s="5" t="s">
        <v>1556</v>
      </c>
      <c r="H24" s="20" t="s">
        <v>19</v>
      </c>
      <c r="I24" s="21" t="s">
        <v>21</v>
      </c>
      <c r="J24" s="20" t="s">
        <v>19</v>
      </c>
      <c r="K24" s="20" t="s">
        <v>19</v>
      </c>
    </row>
    <row r="25" spans="1:11" x14ac:dyDescent="0.25">
      <c r="A25" s="6">
        <v>21</v>
      </c>
      <c r="B25" s="5" t="s">
        <v>1557</v>
      </c>
      <c r="C25" s="5" t="s">
        <v>1558</v>
      </c>
      <c r="D25" s="5" t="s">
        <v>43</v>
      </c>
      <c r="E25" s="5" t="s">
        <v>1517</v>
      </c>
      <c r="F25" s="5" t="s">
        <v>1559</v>
      </c>
      <c r="G25" s="5" t="s">
        <v>1560</v>
      </c>
      <c r="H25" s="20" t="s">
        <v>19</v>
      </c>
      <c r="I25" s="21" t="s">
        <v>21</v>
      </c>
      <c r="J25" s="20" t="s">
        <v>19</v>
      </c>
      <c r="K25" s="20" t="s">
        <v>19</v>
      </c>
    </row>
    <row r="26" spans="1:11" x14ac:dyDescent="0.25">
      <c r="A26" s="6">
        <v>22</v>
      </c>
      <c r="B26" s="5" t="s">
        <v>1561</v>
      </c>
      <c r="C26" s="5" t="s">
        <v>1562</v>
      </c>
      <c r="D26" s="5" t="s">
        <v>42</v>
      </c>
      <c r="E26" s="5" t="s">
        <v>1563</v>
      </c>
      <c r="F26" s="5" t="s">
        <v>1564</v>
      </c>
      <c r="G26" s="5" t="s">
        <v>1565</v>
      </c>
      <c r="H26" s="20" t="s">
        <v>19</v>
      </c>
      <c r="I26" s="21" t="s">
        <v>21</v>
      </c>
      <c r="J26" s="20" t="s">
        <v>19</v>
      </c>
      <c r="K26" s="20" t="s">
        <v>19</v>
      </c>
    </row>
    <row r="27" spans="1:11" x14ac:dyDescent="0.25">
      <c r="A27" s="6">
        <v>23</v>
      </c>
      <c r="B27" s="5" t="s">
        <v>1566</v>
      </c>
      <c r="C27" s="5" t="s">
        <v>1562</v>
      </c>
      <c r="D27" s="5" t="s">
        <v>43</v>
      </c>
      <c r="E27" s="5" t="s">
        <v>1567</v>
      </c>
      <c r="F27" s="5" t="s">
        <v>1568</v>
      </c>
      <c r="G27" s="5" t="s">
        <v>1569</v>
      </c>
      <c r="H27" s="20" t="s">
        <v>19</v>
      </c>
      <c r="I27" s="21" t="s">
        <v>21</v>
      </c>
      <c r="J27" s="20" t="s">
        <v>19</v>
      </c>
      <c r="K27" s="20" t="s">
        <v>19</v>
      </c>
    </row>
    <row r="28" spans="1:11" x14ac:dyDescent="0.25">
      <c r="A28" s="6">
        <v>24</v>
      </c>
      <c r="B28" s="5" t="s">
        <v>1570</v>
      </c>
      <c r="C28" s="5" t="s">
        <v>1562</v>
      </c>
      <c r="D28" s="5" t="s">
        <v>43</v>
      </c>
      <c r="E28" s="5" t="s">
        <v>1571</v>
      </c>
      <c r="F28" s="5" t="s">
        <v>1572</v>
      </c>
      <c r="G28" s="5" t="s">
        <v>1573</v>
      </c>
      <c r="H28" s="20" t="s">
        <v>19</v>
      </c>
      <c r="I28" s="21" t="s">
        <v>21</v>
      </c>
      <c r="J28" s="20" t="s">
        <v>19</v>
      </c>
      <c r="K28" s="20" t="s">
        <v>19</v>
      </c>
    </row>
    <row r="29" spans="1:11" x14ac:dyDescent="0.25">
      <c r="A29" s="6">
        <v>25</v>
      </c>
      <c r="B29" s="5" t="s">
        <v>1574</v>
      </c>
      <c r="C29" s="5" t="s">
        <v>1575</v>
      </c>
      <c r="D29" s="5" t="s">
        <v>42</v>
      </c>
      <c r="E29" s="5" t="s">
        <v>1576</v>
      </c>
      <c r="F29" s="5" t="s">
        <v>1577</v>
      </c>
      <c r="G29" s="5" t="s">
        <v>1578</v>
      </c>
      <c r="H29" s="20" t="s">
        <v>19</v>
      </c>
      <c r="I29" s="21" t="s">
        <v>21</v>
      </c>
      <c r="J29" s="20" t="s">
        <v>19</v>
      </c>
      <c r="K29" s="20" t="s">
        <v>19</v>
      </c>
    </row>
    <row r="30" spans="1:11" x14ac:dyDescent="0.25">
      <c r="A30" s="6">
        <v>26</v>
      </c>
      <c r="B30" s="5" t="s">
        <v>1579</v>
      </c>
      <c r="C30" s="5" t="s">
        <v>1580</v>
      </c>
      <c r="D30" s="5" t="s">
        <v>42</v>
      </c>
      <c r="E30" s="5" t="s">
        <v>1581</v>
      </c>
      <c r="F30" s="5" t="s">
        <v>1582</v>
      </c>
      <c r="G30" s="5" t="s">
        <v>1583</v>
      </c>
      <c r="H30" s="20" t="s">
        <v>19</v>
      </c>
      <c r="I30" s="21" t="s">
        <v>21</v>
      </c>
      <c r="J30" s="20" t="s">
        <v>19</v>
      </c>
      <c r="K30" s="20" t="s">
        <v>19</v>
      </c>
    </row>
    <row r="31" spans="1:11" x14ac:dyDescent="0.25">
      <c r="A31" s="6">
        <v>27</v>
      </c>
      <c r="B31" s="5" t="s">
        <v>1584</v>
      </c>
      <c r="C31" s="5" t="s">
        <v>1585</v>
      </c>
      <c r="D31" s="5" t="s">
        <v>42</v>
      </c>
      <c r="E31" s="5" t="s">
        <v>1586</v>
      </c>
      <c r="F31" s="5" t="s">
        <v>1587</v>
      </c>
      <c r="G31" s="5" t="s">
        <v>1588</v>
      </c>
      <c r="H31" s="20" t="s">
        <v>19</v>
      </c>
      <c r="I31" s="21" t="s">
        <v>21</v>
      </c>
      <c r="J31" s="20" t="s">
        <v>19</v>
      </c>
      <c r="K31" s="20" t="s">
        <v>19</v>
      </c>
    </row>
    <row r="32" spans="1:11" x14ac:dyDescent="0.25">
      <c r="A32" s="6">
        <v>28</v>
      </c>
      <c r="B32" s="5" t="s">
        <v>1589</v>
      </c>
      <c r="C32" s="5" t="s">
        <v>1590</v>
      </c>
      <c r="D32" s="5" t="s">
        <v>42</v>
      </c>
      <c r="E32" s="5" t="s">
        <v>1591</v>
      </c>
      <c r="F32" s="5" t="s">
        <v>1592</v>
      </c>
      <c r="G32" s="5" t="s">
        <v>1593</v>
      </c>
      <c r="H32" s="20" t="s">
        <v>19</v>
      </c>
      <c r="I32" s="21" t="s">
        <v>21</v>
      </c>
      <c r="J32" s="20" t="s">
        <v>19</v>
      </c>
      <c r="K32" s="20" t="s">
        <v>19</v>
      </c>
    </row>
    <row r="33" spans="1:11" x14ac:dyDescent="0.25">
      <c r="A33" s="6">
        <v>29</v>
      </c>
      <c r="B33" s="5" t="s">
        <v>1594</v>
      </c>
      <c r="C33" s="5" t="s">
        <v>1595</v>
      </c>
      <c r="D33" s="5" t="s">
        <v>43</v>
      </c>
      <c r="E33" s="5" t="s">
        <v>1596</v>
      </c>
      <c r="F33" s="5" t="s">
        <v>1597</v>
      </c>
      <c r="G33" s="5" t="s">
        <v>1598</v>
      </c>
      <c r="H33" s="20" t="s">
        <v>19</v>
      </c>
      <c r="I33" s="21" t="s">
        <v>21</v>
      </c>
      <c r="J33" s="20" t="s">
        <v>19</v>
      </c>
      <c r="K33" s="20" t="s">
        <v>19</v>
      </c>
    </row>
    <row r="34" spans="1:11" x14ac:dyDescent="0.25">
      <c r="A34" s="6">
        <v>30</v>
      </c>
      <c r="B34" s="5" t="s">
        <v>1599</v>
      </c>
      <c r="C34" s="5" t="s">
        <v>1600</v>
      </c>
      <c r="D34" s="5" t="s">
        <v>43</v>
      </c>
      <c r="E34" s="5" t="s">
        <v>1601</v>
      </c>
      <c r="F34" s="5" t="s">
        <v>1602</v>
      </c>
      <c r="G34" s="5" t="s">
        <v>1603</v>
      </c>
      <c r="H34" s="20" t="s">
        <v>19</v>
      </c>
      <c r="I34" s="21" t="s">
        <v>21</v>
      </c>
      <c r="J34" s="20" t="s">
        <v>19</v>
      </c>
      <c r="K34" s="20" t="s">
        <v>19</v>
      </c>
    </row>
    <row r="35" spans="1:11" x14ac:dyDescent="0.25">
      <c r="A35" s="6">
        <v>31</v>
      </c>
      <c r="B35" s="5" t="s">
        <v>1604</v>
      </c>
      <c r="C35" s="5" t="s">
        <v>1605</v>
      </c>
      <c r="D35" s="5" t="s">
        <v>43</v>
      </c>
      <c r="E35" s="5" t="s">
        <v>1601</v>
      </c>
      <c r="F35" s="5" t="s">
        <v>1606</v>
      </c>
      <c r="G35" s="5" t="s">
        <v>1607</v>
      </c>
      <c r="H35" s="20" t="s">
        <v>19</v>
      </c>
      <c r="I35" s="21" t="s">
        <v>21</v>
      </c>
      <c r="J35" s="20" t="s">
        <v>19</v>
      </c>
      <c r="K35" s="20" t="s">
        <v>19</v>
      </c>
    </row>
    <row r="36" spans="1:11" x14ac:dyDescent="0.25">
      <c r="A36" s="6">
        <v>32</v>
      </c>
      <c r="B36" s="5" t="s">
        <v>1608</v>
      </c>
      <c r="C36" s="5" t="s">
        <v>1609</v>
      </c>
      <c r="D36" s="5" t="s">
        <v>42</v>
      </c>
      <c r="E36" s="5" t="s">
        <v>1601</v>
      </c>
      <c r="F36" s="5" t="s">
        <v>1610</v>
      </c>
      <c r="G36" s="5" t="s">
        <v>1611</v>
      </c>
      <c r="H36" s="20" t="s">
        <v>19</v>
      </c>
      <c r="I36" s="21" t="s">
        <v>21</v>
      </c>
      <c r="J36" s="20" t="s">
        <v>19</v>
      </c>
      <c r="K36" s="20" t="s">
        <v>19</v>
      </c>
    </row>
    <row r="37" spans="1:11" x14ac:dyDescent="0.25">
      <c r="A37" s="6">
        <v>33</v>
      </c>
      <c r="B37" s="5" t="s">
        <v>1612</v>
      </c>
      <c r="C37" s="5" t="s">
        <v>1613</v>
      </c>
      <c r="D37" s="5" t="s">
        <v>43</v>
      </c>
      <c r="E37" s="5" t="s">
        <v>1614</v>
      </c>
      <c r="F37" s="5" t="s">
        <v>1615</v>
      </c>
      <c r="G37" s="5" t="s">
        <v>1616</v>
      </c>
      <c r="H37" s="20" t="s">
        <v>19</v>
      </c>
      <c r="I37" s="21" t="s">
        <v>21</v>
      </c>
      <c r="J37" s="20" t="s">
        <v>19</v>
      </c>
      <c r="K37" s="20" t="s">
        <v>19</v>
      </c>
    </row>
  </sheetData>
  <autoFilter ref="A4:K37"/>
  <mergeCells count="1">
    <mergeCell ref="A2:K2"/>
  </mergeCells>
  <conditionalFormatting sqref="I5:I37">
    <cfRule type="containsText" dxfId="12" priority="1">
      <formula>NOT(ISERROR(SEARCH("ไม่ผ่าน",I5)))</formula>
    </cfRule>
    <cfRule type="containsText" dxfId="13" priority="2">
      <formula>NOT(ISERROR(SEARCH("ผ่าน",I5)))</formula>
    </cfRule>
    <cfRule type="containsText" dxfId="14" priority="3">
      <formula>NOT(ISERROR(SEARCH("ข้าม",I5)))</formula>
    </cfRule>
  </conditionalFormatting>
  <dataValidations count="2">
    <dataValidation type="list" allowBlank="1" sqref="I10:I37">
      <formula1>"ผ่าน,ไม่ผ่าน,ยังไม่ทดสอบ"</formula1>
    </dataValidation>
    <dataValidation type="list" allowBlank="1" sqref="I5:I37">
      <formula1>"ผ่าน,ไม่ผ่าน,ยังไม่ทดสอบ"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4" max="4" width="50" customWidth="1"/>
    <col min="5" max="5" width="38" customWidth="1"/>
    <col min="6" max="6" width="50" customWidth="1"/>
    <col min="7" max="7" width="16" customWidth="1"/>
  </cols>
  <sheetData>
    <row r="1" spans="1:1" x14ac:dyDescent="0.25">
      <c r="A1" s="17" t="s">
        <v>1617</v>
      </c>
    </row>
    <row r="2" ht="30" customHeight="1" spans="1:7" x14ac:dyDescent="0.25">
      <c r="A2" s="4" t="s">
        <v>49</v>
      </c>
      <c r="B2" s="4" t="s">
        <v>1618</v>
      </c>
      <c r="C2" s="4" t="s">
        <v>41</v>
      </c>
      <c r="D2" s="4" t="s">
        <v>34</v>
      </c>
      <c r="E2" s="4" t="s">
        <v>1619</v>
      </c>
      <c r="F2" s="4" t="s">
        <v>1620</v>
      </c>
      <c r="G2" s="4" t="s">
        <v>18</v>
      </c>
    </row>
    <row r="3" spans="1:7" x14ac:dyDescent="0.25">
      <c r="A3" s="5" t="s">
        <v>1621</v>
      </c>
      <c r="B3" s="5" t="s">
        <v>1622</v>
      </c>
      <c r="C3" s="5" t="s">
        <v>44</v>
      </c>
      <c r="D3" s="5" t="s">
        <v>1623</v>
      </c>
      <c r="E3" s="5" t="s">
        <v>1624</v>
      </c>
      <c r="F3" s="5" t="s">
        <v>1625</v>
      </c>
      <c r="G3" s="5" t="s">
        <v>1626</v>
      </c>
    </row>
    <row r="4" spans="1:7" x14ac:dyDescent="0.25">
      <c r="A4" s="5" t="s">
        <v>1627</v>
      </c>
      <c r="B4" s="5" t="s">
        <v>1628</v>
      </c>
      <c r="C4" s="5" t="s">
        <v>42</v>
      </c>
      <c r="D4" s="5" t="s">
        <v>1629</v>
      </c>
      <c r="E4" s="5" t="s">
        <v>1630</v>
      </c>
      <c r="F4" s="5" t="s">
        <v>1631</v>
      </c>
      <c r="G4" s="5" t="s">
        <v>1632</v>
      </c>
    </row>
    <row r="5" spans="1:7" x14ac:dyDescent="0.25">
      <c r="A5" s="5" t="s">
        <v>1633</v>
      </c>
      <c r="B5" s="5" t="s">
        <v>1634</v>
      </c>
      <c r="C5" s="5" t="s">
        <v>44</v>
      </c>
      <c r="D5" s="5" t="s">
        <v>1635</v>
      </c>
      <c r="E5" s="5" t="s">
        <v>1636</v>
      </c>
      <c r="F5" s="5" t="s">
        <v>1637</v>
      </c>
      <c r="G5" s="5" t="s">
        <v>1626</v>
      </c>
    </row>
    <row r="6" spans="1:7" x14ac:dyDescent="0.25">
      <c r="A6" s="5" t="s">
        <v>1638</v>
      </c>
      <c r="B6" s="5" t="s">
        <v>1634</v>
      </c>
      <c r="C6" s="5" t="s">
        <v>44</v>
      </c>
      <c r="D6" s="5" t="s">
        <v>1639</v>
      </c>
      <c r="E6" s="5" t="s">
        <v>1640</v>
      </c>
      <c r="F6" s="5" t="s">
        <v>1641</v>
      </c>
      <c r="G6" s="5" t="s">
        <v>1626</v>
      </c>
    </row>
    <row r="7" spans="1:7" x14ac:dyDescent="0.25">
      <c r="A7" s="5" t="s">
        <v>1642</v>
      </c>
      <c r="B7" s="5" t="s">
        <v>1634</v>
      </c>
      <c r="C7" s="5" t="s">
        <v>44</v>
      </c>
      <c r="D7" s="5" t="s">
        <v>1643</v>
      </c>
      <c r="E7" s="5" t="s">
        <v>1644</v>
      </c>
      <c r="F7" s="5" t="s">
        <v>1645</v>
      </c>
      <c r="G7" s="5" t="s">
        <v>1646</v>
      </c>
    </row>
    <row r="8" spans="1:7" x14ac:dyDescent="0.25">
      <c r="A8" s="5" t="s">
        <v>1647</v>
      </c>
      <c r="B8" s="5" t="s">
        <v>1648</v>
      </c>
      <c r="C8" s="5" t="s">
        <v>43</v>
      </c>
      <c r="D8" s="5" t="s">
        <v>1649</v>
      </c>
      <c r="E8" s="5" t="s">
        <v>1650</v>
      </c>
      <c r="F8" s="5" t="s">
        <v>1651</v>
      </c>
      <c r="G8" s="5" t="s">
        <v>1652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60" customWidth="1"/>
    <col min="3" max="3" width="52" customWidth="1"/>
  </cols>
  <sheetData>
    <row r="1" spans="1:1" x14ac:dyDescent="0.25">
      <c r="A1" s="17" t="s">
        <v>1653</v>
      </c>
    </row>
    <row r="2" ht="30" customHeight="1" spans="1:3" x14ac:dyDescent="0.25">
      <c r="A2" s="4" t="s">
        <v>1654</v>
      </c>
      <c r="B2" s="4" t="s">
        <v>1655</v>
      </c>
      <c r="C2" s="4" t="s">
        <v>1656</v>
      </c>
    </row>
    <row r="3" spans="1:3" x14ac:dyDescent="0.25">
      <c r="A3" s="5" t="s">
        <v>1657</v>
      </c>
      <c r="B3" s="5" t="s">
        <v>1658</v>
      </c>
      <c r="C3" s="5" t="s">
        <v>1659</v>
      </c>
    </row>
    <row r="4" spans="1:3" x14ac:dyDescent="0.25">
      <c r="A4" s="5" t="s">
        <v>1660</v>
      </c>
      <c r="B4" s="5" t="s">
        <v>1661</v>
      </c>
      <c r="C4" s="5" t="s">
        <v>1662</v>
      </c>
    </row>
    <row r="5" spans="1:3" x14ac:dyDescent="0.25">
      <c r="A5" s="5" t="s">
        <v>1663</v>
      </c>
      <c r="B5" s="5" t="s">
        <v>1664</v>
      </c>
      <c r="C5" s="5" t="s">
        <v>1665</v>
      </c>
    </row>
    <row r="6" spans="1:3" x14ac:dyDescent="0.25">
      <c r="A6" s="5" t="s">
        <v>1666</v>
      </c>
      <c r="B6" s="5" t="s">
        <v>1667</v>
      </c>
      <c r="C6" s="5" t="s">
        <v>1668</v>
      </c>
    </row>
    <row r="7" spans="1:3" x14ac:dyDescent="0.25">
      <c r="A7" s="5" t="s">
        <v>1669</v>
      </c>
      <c r="B7" s="5" t="s">
        <v>1670</v>
      </c>
      <c r="C7" s="5" t="s">
        <v>1671</v>
      </c>
    </row>
    <row r="8" spans="1:3" x14ac:dyDescent="0.25">
      <c r="A8" s="5" t="s">
        <v>1672</v>
      </c>
      <c r="B8" s="5" t="s">
        <v>1673</v>
      </c>
      <c r="C8" s="5" t="s">
        <v>1674</v>
      </c>
    </row>
    <row r="9" spans="1:3" x14ac:dyDescent="0.25">
      <c r="A9" s="5" t="s">
        <v>1675</v>
      </c>
      <c r="B9" s="5" t="s">
        <v>1676</v>
      </c>
      <c r="C9" s="5" t="s">
        <v>1677</v>
      </c>
    </row>
    <row r="10" spans="1:3" x14ac:dyDescent="0.25">
      <c r="A10" s="5" t="s">
        <v>1678</v>
      </c>
      <c r="B10" s="5" t="s">
        <v>1679</v>
      </c>
      <c r="C10" s="5" t="s">
        <v>1680</v>
      </c>
    </row>
    <row r="11" spans="1:3" x14ac:dyDescent="0.25">
      <c r="A11" s="5" t="s">
        <v>1681</v>
      </c>
      <c r="B11" s="5" t="s">
        <v>1682</v>
      </c>
      <c r="C11" s="5" t="s">
        <v>1683</v>
      </c>
    </row>
    <row r="12" spans="1:3" x14ac:dyDescent="0.25">
      <c r="A12" s="5" t="s">
        <v>1684</v>
      </c>
      <c r="B12" s="5" t="s">
        <v>1685</v>
      </c>
      <c r="C12" s="5" t="s">
        <v>1686</v>
      </c>
    </row>
    <row r="13" spans="1:3" x14ac:dyDescent="0.25">
      <c r="A13" s="5" t="s">
        <v>1687</v>
      </c>
      <c r="B13" s="5" t="s">
        <v>1688</v>
      </c>
      <c r="C13" s="5" t="s">
        <v>1689</v>
      </c>
    </row>
    <row r="14" spans="1:3" x14ac:dyDescent="0.25">
      <c r="A14" s="5" t="s">
        <v>1690</v>
      </c>
      <c r="B14" s="5" t="s">
        <v>1691</v>
      </c>
      <c r="C14" s="5" t="s">
        <v>1692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สรุปผล</vt:lpstr>
      <vt:lpstr>Backend (Jest)</vt:lpstr>
      <vt:lpstr>Backend (node-test)</vt:lpstr>
      <vt:lpstr>Frontend (Vitest)</vt:lpstr>
      <vt:lpstr>Manual E2E</vt:lpstr>
      <vt:lpstr>ข้อบกพร่อง</vt:lpstr>
      <vt:lpstr>เทสที่ปรับปรุง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FOUNDLOST test team</dc:creator>
  <dc:title/>
  <dc:subject/>
  <dc:description/>
  <cp:keywords/>
  <cp:category/>
  <cp:lastModifiedBy>Unknown</cp:lastModifiedBy>
  <dcterms:created xsi:type="dcterms:W3CDTF">2026-10-27T05:00:00Z</dcterms:created>
  <dcterms:modified xsi:type="dcterms:W3CDTF">2026-10-26T18:17:32Z</dcterms:modified>
</cp:coreProperties>
</file>